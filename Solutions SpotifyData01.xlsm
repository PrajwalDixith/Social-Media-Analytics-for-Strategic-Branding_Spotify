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Internshala\InternshalaPojectXL\"/>
    </mc:Choice>
  </mc:AlternateContent>
  <xr:revisionPtr revIDLastSave="0" documentId="13_ncr:1_{ED8F6DBA-4AED-43AE-80C4-942622B0477D}" xr6:coauthVersionLast="47" xr6:coauthVersionMax="47" xr10:uidLastSave="{00000000-0000-0000-0000-000000000000}"/>
  <bookViews>
    <workbookView xWindow="-120" yWindow="-120" windowWidth="20730" windowHeight="11160" xr2:uid="{167DAC68-A035-4BC3-911B-98E053F9DC73}"/>
  </bookViews>
  <sheets>
    <sheet name="Video HyperLink" sheetId="22" r:id="rId1"/>
    <sheet name="Campaign Metadata" sheetId="4" r:id="rId2"/>
    <sheet name="Engagement Summary" sheetId="3" r:id="rId3"/>
    <sheet name="Posts" sheetId="2" r:id="rId4"/>
    <sheet name="Sheet1" sheetId="1" r:id="rId5"/>
    <sheet name="Sheet2" sheetId="5" r:id="rId6"/>
    <sheet name="Sheet3" sheetId="6" r:id="rId7"/>
    <sheet name="Sheet4" sheetId="7" r:id="rId8"/>
    <sheet name="Sheet5" sheetId="8" r:id="rId9"/>
    <sheet name="Sheet6" sheetId="9" r:id="rId10"/>
    <sheet name="Sheet7" sheetId="10" r:id="rId11"/>
    <sheet name="Sheet8" sheetId="12" r:id="rId12"/>
    <sheet name="Sheet9" sheetId="13" r:id="rId13"/>
    <sheet name="Sheet10" sheetId="14" r:id="rId14"/>
    <sheet name="Sheet11" sheetId="16" r:id="rId15"/>
    <sheet name="Sheet12" sheetId="17" r:id="rId16"/>
    <sheet name="Sheet13" sheetId="18" r:id="rId17"/>
    <sheet name="Sheet14" sheetId="19" r:id="rId18"/>
    <sheet name="Sheet15" sheetId="20" r:id="rId19"/>
    <sheet name="Sheet16" sheetId="21" r:id="rId20"/>
  </sheets>
  <definedNames>
    <definedName name="ExternalData_1" localSheetId="3" hidden="1">Posts!$A$1:$Q$301</definedName>
    <definedName name="ExternalData_2" localSheetId="2" hidden="1">'Engagement Summary'!$A$1:$G$201</definedName>
    <definedName name="ExternalData_3" localSheetId="1" hidden="1">'Campaign Metadata'!$A$1:$I$5</definedName>
  </definedNames>
  <calcPr calcId="191029"/>
  <pivotCaches>
    <pivotCache cacheId="0" r:id="rId21"/>
    <pivotCache cacheId="1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4" i="21" l="1"/>
  <c r="F10" i="2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F16" i="21" l="1"/>
  <c r="E18" i="21" s="1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E266" i="8" l="1" a="1"/>
  <c r="E266" i="8" s="1"/>
  <c r="E262" i="8" a="1"/>
  <c r="E262" i="8" s="1"/>
  <c r="E258" i="8" a="1"/>
  <c r="E258" i="8" s="1"/>
  <c r="E254" i="8" a="1"/>
  <c r="E254" i="8" s="1"/>
  <c r="E250" i="8" a="1"/>
  <c r="E250" i="8" s="1"/>
  <c r="E246" i="8" a="1"/>
  <c r="E246" i="8" s="1"/>
  <c r="E242" i="8" a="1"/>
  <c r="E242" i="8" s="1"/>
  <c r="E238" i="8" a="1"/>
  <c r="E238" i="8" s="1"/>
  <c r="E234" i="8" a="1"/>
  <c r="E234" i="8" s="1"/>
  <c r="E230" i="8" a="1"/>
  <c r="E230" i="8" s="1"/>
  <c r="E226" i="8" a="1"/>
  <c r="E226" i="8" s="1"/>
  <c r="E222" i="8" a="1"/>
  <c r="E222" i="8" s="1"/>
  <c r="E218" i="8" a="1"/>
  <c r="E218" i="8" s="1"/>
  <c r="E214" i="8" a="1"/>
  <c r="E214" i="8" s="1"/>
  <c r="E210" i="8" a="1"/>
  <c r="E210" i="8" s="1"/>
  <c r="E206" i="8" a="1"/>
  <c r="E206" i="8" s="1"/>
  <c r="E202" i="8" a="1"/>
  <c r="E202" i="8" s="1"/>
  <c r="E198" i="8" a="1"/>
  <c r="E198" i="8" s="1"/>
  <c r="E194" i="8" a="1"/>
  <c r="E194" i="8" s="1"/>
  <c r="E190" i="8" a="1"/>
  <c r="E190" i="8" s="1"/>
  <c r="E186" i="8" a="1"/>
  <c r="E186" i="8" s="1"/>
  <c r="E182" i="8" a="1"/>
  <c r="E182" i="8" s="1"/>
  <c r="E178" i="8" a="1"/>
  <c r="E178" i="8" s="1"/>
  <c r="E174" i="8" a="1"/>
  <c r="E174" i="8" s="1"/>
  <c r="E170" i="8" a="1"/>
  <c r="E170" i="8" s="1"/>
  <c r="E166" i="8" a="1"/>
  <c r="E166" i="8" s="1"/>
  <c r="E162" i="8" a="1"/>
  <c r="E162" i="8" s="1"/>
  <c r="E158" i="8" a="1"/>
  <c r="E158" i="8" s="1"/>
  <c r="E154" i="8" a="1"/>
  <c r="E154" i="8" s="1"/>
  <c r="E150" i="8" a="1"/>
  <c r="E150" i="8" s="1"/>
  <c r="E146" i="8" a="1"/>
  <c r="E146" i="8" s="1"/>
  <c r="E142" i="8" a="1"/>
  <c r="E142" i="8" s="1"/>
  <c r="E138" i="8" a="1"/>
  <c r="E138" i="8" s="1"/>
  <c r="E134" i="8" a="1"/>
  <c r="E134" i="8" s="1"/>
  <c r="E130" i="8" a="1"/>
  <c r="E130" i="8" s="1"/>
  <c r="E126" i="8" a="1"/>
  <c r="E126" i="8" s="1"/>
  <c r="E122" i="8" a="1"/>
  <c r="E122" i="8" s="1"/>
  <c r="E118" i="8" a="1"/>
  <c r="E118" i="8" s="1"/>
  <c r="E114" i="8" a="1"/>
  <c r="E114" i="8" s="1"/>
  <c r="E110" i="8" a="1"/>
  <c r="E110" i="8" s="1"/>
  <c r="E106" i="8" a="1"/>
  <c r="E106" i="8" s="1"/>
  <c r="E102" i="8" a="1"/>
  <c r="E102" i="8" s="1"/>
  <c r="E98" i="8" a="1"/>
  <c r="E98" i="8" s="1"/>
  <c r="E94" i="8" a="1"/>
  <c r="E94" i="8" s="1"/>
  <c r="E90" i="8" a="1"/>
  <c r="E90" i="8" s="1"/>
  <c r="E86" i="8" a="1"/>
  <c r="E86" i="8" s="1"/>
  <c r="E82" i="8" a="1"/>
  <c r="E82" i="8" s="1"/>
  <c r="E78" i="8" a="1"/>
  <c r="E78" i="8" s="1"/>
  <c r="E74" i="8" a="1"/>
  <c r="E74" i="8" s="1"/>
  <c r="E70" i="8" a="1"/>
  <c r="E70" i="8" s="1"/>
  <c r="E66" i="8" a="1"/>
  <c r="E66" i="8" s="1"/>
  <c r="E62" i="8" a="1"/>
  <c r="E62" i="8" s="1"/>
  <c r="E58" i="8" a="1"/>
  <c r="E58" i="8" s="1"/>
  <c r="E54" i="8" a="1"/>
  <c r="E54" i="8" s="1"/>
  <c r="E50" i="8" a="1"/>
  <c r="E50" i="8" s="1"/>
  <c r="E46" i="8" a="1"/>
  <c r="E46" i="8" s="1"/>
  <c r="E42" i="8" a="1"/>
  <c r="E42" i="8" s="1"/>
  <c r="E38" i="8" a="1"/>
  <c r="E38" i="8" s="1"/>
  <c r="E34" i="8" a="1"/>
  <c r="E34" i="8" s="1"/>
  <c r="E30" i="8" a="1"/>
  <c r="E30" i="8" s="1"/>
  <c r="E26" i="8" a="1"/>
  <c r="E26" i="8" s="1"/>
  <c r="E22" i="8" a="1"/>
  <c r="E22" i="8" s="1"/>
  <c r="E18" i="8" a="1"/>
  <c r="E18" i="8" s="1"/>
  <c r="E14" i="8" a="1"/>
  <c r="E14" i="8" s="1"/>
  <c r="E10" i="8" a="1"/>
  <c r="E10" i="8" s="1"/>
  <c r="E6" i="8" a="1"/>
  <c r="E6" i="8" s="1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6" i="19"/>
  <c r="C76" i="19" s="1"/>
  <c r="B14" i="18"/>
  <c r="B15" i="18"/>
  <c r="B13" i="18"/>
  <c r="B12" i="18"/>
  <c r="B11" i="17"/>
  <c r="B12" i="17"/>
  <c r="B13" i="17"/>
  <c r="B14" i="17"/>
  <c r="F71" i="16"/>
  <c r="F68" i="16"/>
  <c r="F65" i="16"/>
  <c r="F62" i="16"/>
  <c r="F56" i="16"/>
  <c r="E56" i="16"/>
  <c r="D56" i="16"/>
  <c r="C56" i="16"/>
  <c r="F49" i="16"/>
  <c r="E49" i="16"/>
  <c r="D49" i="16"/>
  <c r="C49" i="16"/>
  <c r="F42" i="16"/>
  <c r="E42" i="16"/>
  <c r="D42" i="16"/>
  <c r="C42" i="16"/>
  <c r="C35" i="16"/>
  <c r="F35" i="16"/>
  <c r="E35" i="16"/>
  <c r="D35" i="16"/>
  <c r="F46" i="16"/>
  <c r="E46" i="16"/>
  <c r="D46" i="16"/>
  <c r="C46" i="16"/>
  <c r="F53" i="16"/>
  <c r="E53" i="16"/>
  <c r="D53" i="16"/>
  <c r="C53" i="16"/>
  <c r="F39" i="16"/>
  <c r="E39" i="16"/>
  <c r="D39" i="16"/>
  <c r="C39" i="16"/>
  <c r="E32" i="16"/>
  <c r="D32" i="16"/>
  <c r="F32" i="16"/>
  <c r="C32" i="16"/>
  <c r="E14" i="14"/>
  <c r="E15" i="14"/>
  <c r="E16" i="14"/>
  <c r="F16" i="14"/>
  <c r="F15" i="14"/>
  <c r="G16" i="14"/>
  <c r="G15" i="14"/>
  <c r="G14" i="14"/>
  <c r="F14" i="14"/>
  <c r="G13" i="14"/>
  <c r="F13" i="14"/>
  <c r="E13" i="14"/>
  <c r="B13" i="14"/>
  <c r="D13" i="14"/>
  <c r="C13" i="14"/>
  <c r="D16" i="14"/>
  <c r="D15" i="14"/>
  <c r="D14" i="14"/>
  <c r="C16" i="14"/>
  <c r="C15" i="14"/>
  <c r="C14" i="14"/>
  <c r="B16" i="14"/>
  <c r="B15" i="14"/>
  <c r="B14" i="14"/>
  <c r="F67" i="16"/>
  <c r="F70" i="16"/>
  <c r="F64" i="16"/>
  <c r="F61" i="16"/>
  <c r="F12" i="1"/>
  <c r="F13" i="1"/>
  <c r="F11" i="1"/>
  <c r="F7" i="1"/>
  <c r="F8" i="1"/>
  <c r="F6" i="1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2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H46" i="16"/>
  <c r="H39" i="16"/>
  <c r="H56" i="16"/>
  <c r="H53" i="16"/>
  <c r="H49" i="16"/>
  <c r="H42" i="16"/>
  <c r="H35" i="16"/>
  <c r="H32" i="16"/>
  <c r="T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C12" i="16"/>
  <c r="C11" i="16"/>
  <c r="C10" i="16"/>
  <c r="C9" i="16"/>
  <c r="C14" i="16" s="1"/>
  <c r="D286" i="10"/>
  <c r="D285" i="10"/>
  <c r="D284" i="10"/>
  <c r="D283" i="10"/>
  <c r="D282" i="10"/>
  <c r="D281" i="10"/>
  <c r="D280" i="10"/>
  <c r="E281" i="10" s="1" a="1"/>
  <c r="E281" i="10" s="1"/>
  <c r="D279" i="10"/>
  <c r="D278" i="10"/>
  <c r="D277" i="10"/>
  <c r="D276" i="10"/>
  <c r="E277" i="10" s="1" a="1"/>
  <c r="E277" i="10" s="1"/>
  <c r="D275" i="10"/>
  <c r="D274" i="10"/>
  <c r="D273" i="10"/>
  <c r="D272" i="10"/>
  <c r="E273" i="10" s="1" a="1"/>
  <c r="E273" i="10" s="1"/>
  <c r="D271" i="10"/>
  <c r="D270" i="10"/>
  <c r="D269" i="10"/>
  <c r="D268" i="10"/>
  <c r="E269" i="10" s="1" a="1"/>
  <c r="E269" i="10" s="1"/>
  <c r="D267" i="10"/>
  <c r="D266" i="10"/>
  <c r="D265" i="10"/>
  <c r="D264" i="10"/>
  <c r="E265" i="10" s="1" a="1"/>
  <c r="E265" i="10" s="1"/>
  <c r="D263" i="10"/>
  <c r="D262" i="10"/>
  <c r="D261" i="10"/>
  <c r="D260" i="10"/>
  <c r="E261" i="10" s="1" a="1"/>
  <c r="E261" i="10" s="1"/>
  <c r="D259" i="10"/>
  <c r="D258" i="10"/>
  <c r="D257" i="10"/>
  <c r="D256" i="10"/>
  <c r="E257" i="10" s="1" a="1"/>
  <c r="E257" i="10" s="1"/>
  <c r="D255" i="10"/>
  <c r="D254" i="10"/>
  <c r="D253" i="10"/>
  <c r="D252" i="10"/>
  <c r="E253" i="10" s="1" a="1"/>
  <c r="E253" i="10" s="1"/>
  <c r="D251" i="10"/>
  <c r="D250" i="10"/>
  <c r="D249" i="10"/>
  <c r="D248" i="10"/>
  <c r="E249" i="10" s="1" a="1"/>
  <c r="E249" i="10" s="1"/>
  <c r="D247" i="10"/>
  <c r="D246" i="10"/>
  <c r="D245" i="10"/>
  <c r="D244" i="10"/>
  <c r="E245" i="10" s="1" a="1"/>
  <c r="E245" i="10" s="1"/>
  <c r="D243" i="10"/>
  <c r="D242" i="10"/>
  <c r="D241" i="10"/>
  <c r="D240" i="10"/>
  <c r="E241" i="10" s="1" a="1"/>
  <c r="E241" i="10" s="1"/>
  <c r="D239" i="10"/>
  <c r="D238" i="10"/>
  <c r="D237" i="10"/>
  <c r="D236" i="10"/>
  <c r="E237" i="10" s="1" a="1"/>
  <c r="E237" i="10" s="1"/>
  <c r="D235" i="10"/>
  <c r="D234" i="10"/>
  <c r="D233" i="10"/>
  <c r="D232" i="10"/>
  <c r="E233" i="10" s="1" a="1"/>
  <c r="E233" i="10" s="1"/>
  <c r="D231" i="10"/>
  <c r="D230" i="10"/>
  <c r="D229" i="10"/>
  <c r="D228" i="10"/>
  <c r="E229" i="10" s="1" a="1"/>
  <c r="E229" i="10" s="1"/>
  <c r="D227" i="10"/>
  <c r="D226" i="10"/>
  <c r="D225" i="10"/>
  <c r="D224" i="10"/>
  <c r="E225" i="10" s="1" a="1"/>
  <c r="E225" i="10" s="1"/>
  <c r="D223" i="10"/>
  <c r="D222" i="10"/>
  <c r="D221" i="10"/>
  <c r="D220" i="10"/>
  <c r="E221" i="10" s="1" a="1"/>
  <c r="E221" i="10" s="1"/>
  <c r="D219" i="10"/>
  <c r="D218" i="10"/>
  <c r="D217" i="10"/>
  <c r="D216" i="10"/>
  <c r="E217" i="10" s="1" a="1"/>
  <c r="E217" i="10" s="1"/>
  <c r="D215" i="10"/>
  <c r="D214" i="10"/>
  <c r="D213" i="10"/>
  <c r="D212" i="10"/>
  <c r="E213" i="10" s="1" a="1"/>
  <c r="E213" i="10" s="1"/>
  <c r="D211" i="10"/>
  <c r="D210" i="10"/>
  <c r="D209" i="10"/>
  <c r="D208" i="10"/>
  <c r="E209" i="10" s="1" a="1"/>
  <c r="E209" i="10" s="1"/>
  <c r="D207" i="10"/>
  <c r="D206" i="10"/>
  <c r="D205" i="10"/>
  <c r="D204" i="10"/>
  <c r="E205" i="10" s="1" a="1"/>
  <c r="E205" i="10" s="1"/>
  <c r="D203" i="10"/>
  <c r="D202" i="10"/>
  <c r="D201" i="10"/>
  <c r="D200" i="10"/>
  <c r="E201" i="10" s="1" a="1"/>
  <c r="E201" i="10" s="1"/>
  <c r="D199" i="10"/>
  <c r="D198" i="10"/>
  <c r="D197" i="10"/>
  <c r="D196" i="10"/>
  <c r="E197" i="10" s="1" a="1"/>
  <c r="E197" i="10" s="1"/>
  <c r="D195" i="10"/>
  <c r="D194" i="10"/>
  <c r="D193" i="10"/>
  <c r="D192" i="10"/>
  <c r="E193" i="10" s="1" a="1"/>
  <c r="E193" i="10" s="1"/>
  <c r="D191" i="10"/>
  <c r="D190" i="10"/>
  <c r="D189" i="10"/>
  <c r="D188" i="10"/>
  <c r="E189" i="10" s="1" a="1"/>
  <c r="E189" i="10" s="1"/>
  <c r="D187" i="10"/>
  <c r="D186" i="10"/>
  <c r="D185" i="10"/>
  <c r="D184" i="10"/>
  <c r="E185" i="10" s="1" a="1"/>
  <c r="E185" i="10" s="1"/>
  <c r="D183" i="10"/>
  <c r="D182" i="10"/>
  <c r="D181" i="10"/>
  <c r="D180" i="10"/>
  <c r="E181" i="10" s="1" a="1"/>
  <c r="E181" i="10" s="1"/>
  <c r="D179" i="10"/>
  <c r="D178" i="10"/>
  <c r="D177" i="10"/>
  <c r="D176" i="10"/>
  <c r="E177" i="10" s="1" a="1"/>
  <c r="E177" i="10" s="1"/>
  <c r="D175" i="10"/>
  <c r="D174" i="10"/>
  <c r="D173" i="10"/>
  <c r="D172" i="10"/>
  <c r="E173" i="10" s="1" a="1"/>
  <c r="E173" i="10" s="1"/>
  <c r="D171" i="10"/>
  <c r="D170" i="10"/>
  <c r="D169" i="10"/>
  <c r="D168" i="10"/>
  <c r="E169" i="10" s="1" a="1"/>
  <c r="E169" i="10" s="1"/>
  <c r="D167" i="10"/>
  <c r="D166" i="10"/>
  <c r="D165" i="10"/>
  <c r="D164" i="10"/>
  <c r="E165" i="10" s="1" a="1"/>
  <c r="E165" i="10" s="1"/>
  <c r="D163" i="10"/>
  <c r="D162" i="10"/>
  <c r="D161" i="10"/>
  <c r="D160" i="10"/>
  <c r="E161" i="10" s="1" a="1"/>
  <c r="E161" i="10" s="1"/>
  <c r="D159" i="10"/>
  <c r="D158" i="10"/>
  <c r="D157" i="10"/>
  <c r="D156" i="10"/>
  <c r="E157" i="10" s="1" a="1"/>
  <c r="E157" i="10" s="1"/>
  <c r="D155" i="10"/>
  <c r="D154" i="10"/>
  <c r="D153" i="10"/>
  <c r="D152" i="10"/>
  <c r="E153" i="10" s="1" a="1"/>
  <c r="E153" i="10" s="1"/>
  <c r="D151" i="10"/>
  <c r="D150" i="10"/>
  <c r="D149" i="10"/>
  <c r="D148" i="10"/>
  <c r="E149" i="10" s="1" a="1"/>
  <c r="E149" i="10" s="1"/>
  <c r="D147" i="10"/>
  <c r="D146" i="10"/>
  <c r="D145" i="10"/>
  <c r="D144" i="10"/>
  <c r="E145" i="10" s="1" a="1"/>
  <c r="E145" i="10" s="1"/>
  <c r="D143" i="10"/>
  <c r="D142" i="10"/>
  <c r="D141" i="10"/>
  <c r="D140" i="10"/>
  <c r="E141" i="10" s="1" a="1"/>
  <c r="E141" i="10" s="1"/>
  <c r="D139" i="10"/>
  <c r="D138" i="10"/>
  <c r="D137" i="10"/>
  <c r="D136" i="10"/>
  <c r="E137" i="10" s="1" a="1"/>
  <c r="E137" i="10" s="1"/>
  <c r="D135" i="10"/>
  <c r="D134" i="10"/>
  <c r="D133" i="10"/>
  <c r="D132" i="10"/>
  <c r="E133" i="10" s="1" a="1"/>
  <c r="E133" i="10" s="1"/>
  <c r="D131" i="10"/>
  <c r="D130" i="10"/>
  <c r="D129" i="10"/>
  <c r="D128" i="10"/>
  <c r="E129" i="10" s="1" a="1"/>
  <c r="E129" i="10" s="1"/>
  <c r="D127" i="10"/>
  <c r="D126" i="10"/>
  <c r="D125" i="10"/>
  <c r="D124" i="10"/>
  <c r="E125" i="10" s="1" a="1"/>
  <c r="E125" i="10" s="1"/>
  <c r="D123" i="10"/>
  <c r="D122" i="10"/>
  <c r="D121" i="10"/>
  <c r="D120" i="10"/>
  <c r="E121" i="10" s="1" a="1"/>
  <c r="E121" i="10" s="1"/>
  <c r="D119" i="10"/>
  <c r="D118" i="10"/>
  <c r="D117" i="10"/>
  <c r="D116" i="10"/>
  <c r="E117" i="10" s="1" a="1"/>
  <c r="E117" i="10" s="1"/>
  <c r="D115" i="10"/>
  <c r="D114" i="10"/>
  <c r="D113" i="10"/>
  <c r="D112" i="10"/>
  <c r="E113" i="10" s="1" a="1"/>
  <c r="E113" i="10" s="1"/>
  <c r="D111" i="10"/>
  <c r="D110" i="10"/>
  <c r="D109" i="10"/>
  <c r="D108" i="10"/>
  <c r="E109" i="10" s="1" a="1"/>
  <c r="E109" i="10" s="1"/>
  <c r="D107" i="10"/>
  <c r="D106" i="10"/>
  <c r="D105" i="10"/>
  <c r="D104" i="10"/>
  <c r="E105" i="10" s="1" a="1"/>
  <c r="E105" i="10" s="1"/>
  <c r="D103" i="10"/>
  <c r="D102" i="10"/>
  <c r="D101" i="10"/>
  <c r="D100" i="10"/>
  <c r="E101" i="10" s="1" a="1"/>
  <c r="E101" i="10" s="1"/>
  <c r="D99" i="10"/>
  <c r="D98" i="10"/>
  <c r="D97" i="10"/>
  <c r="D96" i="10"/>
  <c r="E97" i="10" s="1" a="1"/>
  <c r="E97" i="10" s="1"/>
  <c r="D95" i="10"/>
  <c r="D94" i="10"/>
  <c r="D93" i="10"/>
  <c r="D92" i="10"/>
  <c r="E93" i="10" s="1" a="1"/>
  <c r="E93" i="10" s="1"/>
  <c r="D91" i="10"/>
  <c r="D90" i="10"/>
  <c r="D89" i="10"/>
  <c r="D88" i="10"/>
  <c r="E89" i="10" s="1" a="1"/>
  <c r="E89" i="10" s="1"/>
  <c r="D87" i="10"/>
  <c r="D86" i="10"/>
  <c r="D85" i="10"/>
  <c r="D84" i="10"/>
  <c r="E85" i="10" s="1" a="1"/>
  <c r="E85" i="10" s="1"/>
  <c r="D83" i="10"/>
  <c r="D82" i="10"/>
  <c r="D81" i="10"/>
  <c r="D80" i="10"/>
  <c r="E81" i="10" s="1" a="1"/>
  <c r="E81" i="10" s="1"/>
  <c r="D79" i="10"/>
  <c r="D78" i="10"/>
  <c r="D77" i="10"/>
  <c r="D76" i="10"/>
  <c r="E77" i="10" s="1" a="1"/>
  <c r="E77" i="10" s="1"/>
  <c r="D75" i="10"/>
  <c r="D74" i="10"/>
  <c r="D73" i="10"/>
  <c r="D72" i="10"/>
  <c r="E73" i="10" s="1" a="1"/>
  <c r="E73" i="10" s="1"/>
  <c r="D71" i="10"/>
  <c r="D70" i="10"/>
  <c r="D69" i="10"/>
  <c r="D68" i="10"/>
  <c r="E69" i="10" s="1" a="1"/>
  <c r="E69" i="10" s="1"/>
  <c r="D67" i="10"/>
  <c r="D66" i="10"/>
  <c r="D65" i="10"/>
  <c r="D64" i="10"/>
  <c r="E65" i="10" s="1" a="1"/>
  <c r="E65" i="10" s="1"/>
  <c r="D63" i="10"/>
  <c r="D62" i="10"/>
  <c r="D61" i="10"/>
  <c r="D60" i="10"/>
  <c r="E61" i="10" s="1" a="1"/>
  <c r="E61" i="10" s="1"/>
  <c r="D59" i="10"/>
  <c r="D58" i="10"/>
  <c r="D57" i="10"/>
  <c r="D56" i="10"/>
  <c r="E57" i="10" s="1" a="1"/>
  <c r="E57" i="10" s="1"/>
  <c r="D55" i="10"/>
  <c r="D54" i="10"/>
  <c r="D53" i="10"/>
  <c r="D52" i="10"/>
  <c r="E53" i="10" s="1" a="1"/>
  <c r="E53" i="10" s="1"/>
  <c r="D51" i="10"/>
  <c r="D50" i="10"/>
  <c r="D49" i="10"/>
  <c r="D48" i="10"/>
  <c r="E49" i="10" s="1" a="1"/>
  <c r="E49" i="10" s="1"/>
  <c r="D47" i="10"/>
  <c r="D46" i="10"/>
  <c r="D45" i="10"/>
  <c r="D44" i="10"/>
  <c r="E45" i="10" s="1" a="1"/>
  <c r="E45" i="10" s="1"/>
  <c r="D43" i="10"/>
  <c r="D42" i="10"/>
  <c r="D41" i="10"/>
  <c r="D40" i="10"/>
  <c r="E41" i="10" s="1" a="1"/>
  <c r="E41" i="10" s="1"/>
  <c r="D39" i="10"/>
  <c r="D38" i="10"/>
  <c r="D37" i="10"/>
  <c r="D36" i="10"/>
  <c r="E37" i="10" s="1" a="1"/>
  <c r="E37" i="10" s="1"/>
  <c r="D35" i="10"/>
  <c r="D34" i="10"/>
  <c r="D33" i="10"/>
  <c r="D32" i="10"/>
  <c r="E33" i="10" s="1" a="1"/>
  <c r="E33" i="10" s="1"/>
  <c r="D31" i="10"/>
  <c r="D30" i="10"/>
  <c r="D29" i="10"/>
  <c r="D28" i="10"/>
  <c r="E29" i="10" s="1" a="1"/>
  <c r="E29" i="10" s="1"/>
  <c r="D27" i="10"/>
  <c r="D26" i="10"/>
  <c r="D25" i="10"/>
  <c r="D24" i="10"/>
  <c r="E25" i="10" s="1" a="1"/>
  <c r="E25" i="10" s="1"/>
  <c r="D23" i="10"/>
  <c r="D22" i="10"/>
  <c r="D21" i="10"/>
  <c r="D20" i="10"/>
  <c r="E21" i="10" s="1" a="1"/>
  <c r="E21" i="10" s="1"/>
  <c r="D19" i="10"/>
  <c r="D273" i="8"/>
  <c r="D276" i="8"/>
  <c r="D275" i="8"/>
  <c r="D274" i="8"/>
  <c r="D277" i="8" s="1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4" i="8"/>
  <c r="D6" i="8"/>
  <c r="D7" i="8"/>
  <c r="D5" i="8"/>
  <c r="C19" i="13" l="1"/>
  <c r="C26" i="12"/>
  <c r="C20" i="13"/>
  <c r="C30" i="12"/>
  <c r="C25" i="12"/>
  <c r="C23" i="13"/>
  <c r="C32" i="12"/>
  <c r="C24" i="13"/>
  <c r="C27" i="12"/>
  <c r="C28" i="12"/>
  <c r="C22" i="13"/>
  <c r="C31" i="12"/>
  <c r="C21" i="13"/>
  <c r="C29" i="12"/>
  <c r="D291" i="10"/>
  <c r="D290" i="10"/>
  <c r="D289" i="10"/>
  <c r="D292" i="10" s="1"/>
  <c r="D288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BCE50B-1B5C-4147-B24B-62E2180E2759}" keepAlive="1" name="Query - Campaign Metadata" description="Connection to the 'Campaign Metadata' query in the workbook." type="5" refreshedVersion="8" background="1" saveData="1">
    <dbPr connection="Provider=Microsoft.Mashup.OleDb.1;Data Source=$Workbook$;Location=&quot;Campaign Metadata&quot;;Extended Properties=&quot;&quot;" command="SELECT * FROM [Campaign Metadata]"/>
  </connection>
  <connection id="2" xr16:uid="{07B1129F-F945-4E1B-AB9E-1C3BBB9BB296}" keepAlive="1" name="Query - Engagement Summary" description="Connection to the 'Engagement Summary' query in the workbook." type="5" refreshedVersion="8" background="1" saveData="1">
    <dbPr connection="Provider=Microsoft.Mashup.OleDb.1;Data Source=$Workbook$;Location=&quot;Engagement Summary&quot;;Extended Properties=&quot;&quot;" command="SELECT * FROM [Engagement Summary]"/>
  </connection>
  <connection id="3" xr16:uid="{73835E10-F457-4870-8A7A-E1E1BA500FEF}" keepAlive="1" name="Query - Posts" description="Connection to the 'Posts' query in the workbook." type="5" refreshedVersion="8" background="1" saveData="1">
    <dbPr connection="Provider=Microsoft.Mashup.OleDb.1;Data Source=$Workbook$;Location=Posts;Extended Properties=&quot;&quot;" command="SELECT * FROM [Pos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<sst xmlns="http://schemas.openxmlformats.org/spreadsheetml/2006/main" count="3264" uniqueCount="547">
  <si>
    <t>Campaign_Name</t>
  </si>
  <si>
    <t>Start_Date</t>
  </si>
  <si>
    <t>End_Date</t>
  </si>
  <si>
    <t>Objective</t>
  </si>
  <si>
    <t>Total_Budget</t>
  </si>
  <si>
    <t>Target_Platforms.1</t>
  </si>
  <si>
    <t>Target_Platforms.2</t>
  </si>
  <si>
    <t>Primary_Hashtags.1</t>
  </si>
  <si>
    <t>Primary_Hashtags.2</t>
  </si>
  <si>
    <t>SummerBeats</t>
  </si>
  <si>
    <t>Brand Awareness</t>
  </si>
  <si>
    <t>Instagram</t>
  </si>
  <si>
    <t>YouTube</t>
  </si>
  <si>
    <t>#SpotifyWrapped</t>
  </si>
  <si>
    <t>#MusicForEveryone</t>
  </si>
  <si>
    <t>Wrapped2024</t>
  </si>
  <si>
    <t>Engagement</t>
  </si>
  <si>
    <t>Twitter</t>
  </si>
  <si>
    <t>#NowPlaying</t>
  </si>
  <si>
    <t>ChillVibes</t>
  </si>
  <si>
    <t>Product Launch</t>
  </si>
  <si>
    <t>#ChillVibes</t>
  </si>
  <si>
    <t>#SoundtrackOfLife</t>
  </si>
  <si>
    <t>IndieWave</t>
  </si>
  <si>
    <t>Traffic</t>
  </si>
  <si>
    <t>Facebook</t>
  </si>
  <si>
    <t>#DiscoverWeekly</t>
  </si>
  <si>
    <t>#IndieWave</t>
  </si>
  <si>
    <t>Week_Start_Date</t>
  </si>
  <si>
    <t>Platform</t>
  </si>
  <si>
    <t>New_Followers</t>
  </si>
  <si>
    <t>Unfollows</t>
  </si>
  <si>
    <t>Total_Followers</t>
  </si>
  <si>
    <t>Engagement_Rate</t>
  </si>
  <si>
    <t>Ad_Spend</t>
  </si>
  <si>
    <t>Post ID</t>
  </si>
  <si>
    <t>Date</t>
  </si>
  <si>
    <t>Content Type</t>
  </si>
  <si>
    <t>Post Text</t>
  </si>
  <si>
    <t>Likes</t>
  </si>
  <si>
    <t>Shares</t>
  </si>
  <si>
    <t>Comments</t>
  </si>
  <si>
    <t>Impressions</t>
  </si>
  <si>
    <t>Reach</t>
  </si>
  <si>
    <t>Clicks</t>
  </si>
  <si>
    <t>Hashtags Used.1</t>
  </si>
  <si>
    <t>Hashtags Used.2</t>
  </si>
  <si>
    <t>SP061</t>
  </si>
  <si>
    <t>Reel</t>
  </si>
  <si>
    <t>Explore the latest podcasts now</t>
  </si>
  <si>
    <t>SP126</t>
  </si>
  <si>
    <t>Story</t>
  </si>
  <si>
    <t>What's your vibe today SpotifyHits</t>
  </si>
  <si>
    <t>SP281</t>
  </si>
  <si>
    <t>Text</t>
  </si>
  <si>
    <t>Top trending tracks updated daily</t>
  </si>
  <si>
    <t>SP057</t>
  </si>
  <si>
    <t>No HashTag</t>
  </si>
  <si>
    <t>SP130</t>
  </si>
  <si>
    <t>SP071</t>
  </si>
  <si>
    <t>SP202</t>
  </si>
  <si>
    <t>Wrapped is here! Relive your top tracks</t>
  </si>
  <si>
    <t>SP299</t>
  </si>
  <si>
    <t>SP079</t>
  </si>
  <si>
    <t>New music just dropped. Hit play</t>
  </si>
  <si>
    <t>SP195</t>
  </si>
  <si>
    <t>SP237</t>
  </si>
  <si>
    <t>SP226</t>
  </si>
  <si>
    <t>SP147</t>
  </si>
  <si>
    <t>Discover fresh beats on Spotify</t>
  </si>
  <si>
    <t>SP075</t>
  </si>
  <si>
    <t>From pop to podcasts, it's all here</t>
  </si>
  <si>
    <t>SP097</t>
  </si>
  <si>
    <t>SP133</t>
  </si>
  <si>
    <t>Your weekend playlist is waiting</t>
  </si>
  <si>
    <t>SP127</t>
  </si>
  <si>
    <t>Music that moves youâ€”only on Spotify</t>
  </si>
  <si>
    <t>SP225</t>
  </si>
  <si>
    <t>SP234</t>
  </si>
  <si>
    <t>SP018</t>
  </si>
  <si>
    <t>SP300</t>
  </si>
  <si>
    <t>SP160</t>
  </si>
  <si>
    <t>SP219</t>
  </si>
  <si>
    <t>SP273</t>
  </si>
  <si>
    <t>SP046</t>
  </si>
  <si>
    <t>SP103</t>
  </si>
  <si>
    <t>SP117</t>
  </si>
  <si>
    <t>SP275</t>
  </si>
  <si>
    <t>SP282</t>
  </si>
  <si>
    <t>Get into the groove with our new drop</t>
  </si>
  <si>
    <t>SP128</t>
  </si>
  <si>
    <t>SP191</t>
  </si>
  <si>
    <t>SP122</t>
  </si>
  <si>
    <t>SP229</t>
  </si>
  <si>
    <t>SP093</t>
  </si>
  <si>
    <t>SP028</t>
  </si>
  <si>
    <t>SP011</t>
  </si>
  <si>
    <t>SP249</t>
  </si>
  <si>
    <t>SP047</t>
  </si>
  <si>
    <t>SP098</t>
  </si>
  <si>
    <t>SP096</t>
  </si>
  <si>
    <t>SP268</t>
  </si>
  <si>
    <t>SP200</t>
  </si>
  <si>
    <t>SP182</t>
  </si>
  <si>
    <t>SP181</t>
  </si>
  <si>
    <t>SP095</t>
  </si>
  <si>
    <t>SP092</t>
  </si>
  <si>
    <t>SP263</t>
  </si>
  <si>
    <t>SP068</t>
  </si>
  <si>
    <t>SP231</t>
  </si>
  <si>
    <t>SP067</t>
  </si>
  <si>
    <t>SP255</t>
  </si>
  <si>
    <t>SP168</t>
  </si>
  <si>
    <t>SP207</t>
  </si>
  <si>
    <t>SP137</t>
  </si>
  <si>
    <t>SP166</t>
  </si>
  <si>
    <t>SP005</t>
  </si>
  <si>
    <t>SP159</t>
  </si>
  <si>
    <t>SP211</t>
  </si>
  <si>
    <t>SP060</t>
  </si>
  <si>
    <t>SP172</t>
  </si>
  <si>
    <t>SP041</t>
  </si>
  <si>
    <t>SP087</t>
  </si>
  <si>
    <t>SP155</t>
  </si>
  <si>
    <t>SP286</t>
  </si>
  <si>
    <t>SP104</t>
  </si>
  <si>
    <t>SP036</t>
  </si>
  <si>
    <t>SP015</t>
  </si>
  <si>
    <t>SP032</t>
  </si>
  <si>
    <t>SP055</t>
  </si>
  <si>
    <t>SP165</t>
  </si>
  <si>
    <t>SP008</t>
  </si>
  <si>
    <t>SP124</t>
  </si>
  <si>
    <t>SP194</t>
  </si>
  <si>
    <t>SP123</t>
  </si>
  <si>
    <t>SP051</t>
  </si>
  <si>
    <t>SP012</t>
  </si>
  <si>
    <t>SP118</t>
  </si>
  <si>
    <t>SP074</t>
  </si>
  <si>
    <t>SP065</t>
  </si>
  <si>
    <t>SP266</t>
  </si>
  <si>
    <t>SP150</t>
  </si>
  <si>
    <t>SP228</t>
  </si>
  <si>
    <t>SP173</t>
  </si>
  <si>
    <t>SP193</t>
  </si>
  <si>
    <t>SP257</t>
  </si>
  <si>
    <t>SP023</t>
  </si>
  <si>
    <t>SP017</t>
  </si>
  <si>
    <t>SP006</t>
  </si>
  <si>
    <t>SP248</t>
  </si>
  <si>
    <t>SP019</t>
  </si>
  <si>
    <t>SP186</t>
  </si>
  <si>
    <t>SP143</t>
  </si>
  <si>
    <t>SP223</t>
  </si>
  <si>
    <t>SP269</t>
  </si>
  <si>
    <t>SP287</t>
  </si>
  <si>
    <t>SP110</t>
  </si>
  <si>
    <t>SP291</t>
  </si>
  <si>
    <t>SP176</t>
  </si>
  <si>
    <t>SP020</t>
  </si>
  <si>
    <t>SP063</t>
  </si>
  <si>
    <t>SP251</t>
  </si>
  <si>
    <t>SP246</t>
  </si>
  <si>
    <t>SP256</t>
  </si>
  <si>
    <t>SP199</t>
  </si>
  <si>
    <t>SP184</t>
  </si>
  <si>
    <t>SP076</t>
  </si>
  <si>
    <t>SP045</t>
  </si>
  <si>
    <t>SP114</t>
  </si>
  <si>
    <t>SP058</t>
  </si>
  <si>
    <t>SP209</t>
  </si>
  <si>
    <t>SP111</t>
  </si>
  <si>
    <t>SP100</t>
  </si>
  <si>
    <t>SP090</t>
  </si>
  <si>
    <t>SP183</t>
  </si>
  <si>
    <t>SP084</t>
  </si>
  <si>
    <t>SP253</t>
  </si>
  <si>
    <t>SP163</t>
  </si>
  <si>
    <t>SP288</t>
  </si>
  <si>
    <t>SP059</t>
  </si>
  <si>
    <t>SP151</t>
  </si>
  <si>
    <t>SP053</t>
  </si>
  <si>
    <t>SP290</t>
  </si>
  <si>
    <t>SP085</t>
  </si>
  <si>
    <t>SP206</t>
  </si>
  <si>
    <t>SP082</t>
  </si>
  <si>
    <t>SP283</t>
  </si>
  <si>
    <t>SP140</t>
  </si>
  <si>
    <t>SP240</t>
  </si>
  <si>
    <t>SP049</t>
  </si>
  <si>
    <t>SP171</t>
  </si>
  <si>
    <t>SP156</t>
  </si>
  <si>
    <t>SP052</t>
  </si>
  <si>
    <t>SP044</t>
  </si>
  <si>
    <t>SP108</t>
  </si>
  <si>
    <t>SP235</t>
  </si>
  <si>
    <t>SP113</t>
  </si>
  <si>
    <t>SP038</t>
  </si>
  <si>
    <t>SP201</t>
  </si>
  <si>
    <t>SP241</t>
  </si>
  <si>
    <t>SP192</t>
  </si>
  <si>
    <t>SP247</t>
  </si>
  <si>
    <t>SP105</t>
  </si>
  <si>
    <t>SP152</t>
  </si>
  <si>
    <t>SP132</t>
  </si>
  <si>
    <t>SP280</t>
  </si>
  <si>
    <t>SP141</t>
  </si>
  <si>
    <t>SP135</t>
  </si>
  <si>
    <t>SP203</t>
  </si>
  <si>
    <t>SP274</t>
  </si>
  <si>
    <t>SP014</t>
  </si>
  <si>
    <t>SP033</t>
  </si>
  <si>
    <t>SP214</t>
  </si>
  <si>
    <t>SP025</t>
  </si>
  <si>
    <t>SP072</t>
  </si>
  <si>
    <t>SP101</t>
  </si>
  <si>
    <t>SP218</t>
  </si>
  <si>
    <t>SP099</t>
  </si>
  <si>
    <t>SP024</t>
  </si>
  <si>
    <t>SP233</t>
  </si>
  <si>
    <t>SP284</t>
  </si>
  <si>
    <t>SP252</t>
  </si>
  <si>
    <t>SP102</t>
  </si>
  <si>
    <t>SP062</t>
  </si>
  <si>
    <t>SP292</t>
  </si>
  <si>
    <t>SP125</t>
  </si>
  <si>
    <t>SP272</t>
  </si>
  <si>
    <t>SP021</t>
  </si>
  <si>
    <t>SP267</t>
  </si>
  <si>
    <t>SP177</t>
  </si>
  <si>
    <t>SP270</t>
  </si>
  <si>
    <t>SP094</t>
  </si>
  <si>
    <t>SP162</t>
  </si>
  <si>
    <t>SP297</t>
  </si>
  <si>
    <t>SP261</t>
  </si>
  <si>
    <t>SP136</t>
  </si>
  <si>
    <t>SP179</t>
  </si>
  <si>
    <t>SP154</t>
  </si>
  <si>
    <t>SP109</t>
  </si>
  <si>
    <t>SP170</t>
  </si>
  <si>
    <t>SP039</t>
  </si>
  <si>
    <t>SP138</t>
  </si>
  <si>
    <t>SP027</t>
  </si>
  <si>
    <t>SP262</t>
  </si>
  <si>
    <t>SP278</t>
  </si>
  <si>
    <t>SP003</t>
  </si>
  <si>
    <t>SP004</t>
  </si>
  <si>
    <t>SP010</t>
  </si>
  <si>
    <t>SP089</t>
  </si>
  <si>
    <t>SP197</t>
  </si>
  <si>
    <t>SP224</t>
  </si>
  <si>
    <t>SP220</t>
  </si>
  <si>
    <t>SP243</t>
  </si>
  <si>
    <t>SP239</t>
  </si>
  <si>
    <t>SP178</t>
  </si>
  <si>
    <t>SP069</t>
  </si>
  <si>
    <t>SP007</t>
  </si>
  <si>
    <t>SP236</t>
  </si>
  <si>
    <t>SP142</t>
  </si>
  <si>
    <t>SP294</t>
  </si>
  <si>
    <t>SP016</t>
  </si>
  <si>
    <t>SP204</t>
  </si>
  <si>
    <t>SP031</t>
  </si>
  <si>
    <t>SP083</t>
  </si>
  <si>
    <t>SP169</t>
  </si>
  <si>
    <t>SP260</t>
  </si>
  <si>
    <t>SP070</t>
  </si>
  <si>
    <t>SP245</t>
  </si>
  <si>
    <t>SP034</t>
  </si>
  <si>
    <t>SP196</t>
  </si>
  <si>
    <t>SP216</t>
  </si>
  <si>
    <t>SP107</t>
  </si>
  <si>
    <t>SP215</t>
  </si>
  <si>
    <t>SP190</t>
  </si>
  <si>
    <t>SP120</t>
  </si>
  <si>
    <t>SP279</t>
  </si>
  <si>
    <t>SP259</t>
  </si>
  <si>
    <t>SP106</t>
  </si>
  <si>
    <t>SP078</t>
  </si>
  <si>
    <t>SP289</t>
  </si>
  <si>
    <t>SP064</t>
  </si>
  <si>
    <t>SP042</t>
  </si>
  <si>
    <t>SP167</t>
  </si>
  <si>
    <t>SP285</t>
  </si>
  <si>
    <t>SP002</t>
  </si>
  <si>
    <t>SP198</t>
  </si>
  <si>
    <t>SP254</t>
  </si>
  <si>
    <t>SP277</t>
  </si>
  <si>
    <t>SP048</t>
  </si>
  <si>
    <t>SP271</t>
  </si>
  <si>
    <t>SP148</t>
  </si>
  <si>
    <t>SP144</t>
  </si>
  <si>
    <t>SP043</t>
  </si>
  <si>
    <t>SP112</t>
  </si>
  <si>
    <t>SP088</t>
  </si>
  <si>
    <t>SP056</t>
  </si>
  <si>
    <t>SP189</t>
  </si>
  <si>
    <t>SP157</t>
  </si>
  <si>
    <t>SP276</t>
  </si>
  <si>
    <t>SP054</t>
  </si>
  <si>
    <t>SP081</t>
  </si>
  <si>
    <t>SP232</t>
  </si>
  <si>
    <t>SP295</t>
  </si>
  <si>
    <t>SP139</t>
  </si>
  <si>
    <t>SP029</t>
  </si>
  <si>
    <t>SP296</t>
  </si>
  <si>
    <t>SP131</t>
  </si>
  <si>
    <t>SP258</t>
  </si>
  <si>
    <t>SP158</t>
  </si>
  <si>
    <t>SP227</t>
  </si>
  <si>
    <t>SP175</t>
  </si>
  <si>
    <t>SP174</t>
  </si>
  <si>
    <t>SP208</t>
  </si>
  <si>
    <t>SP242</t>
  </si>
  <si>
    <t>SP149</t>
  </si>
  <si>
    <t>SP115</t>
  </si>
  <si>
    <t>SP066</t>
  </si>
  <si>
    <t>SP205</t>
  </si>
  <si>
    <t>SP293</t>
  </si>
  <si>
    <t>SP185</t>
  </si>
  <si>
    <t>SP050</t>
  </si>
  <si>
    <t>SP030</t>
  </si>
  <si>
    <t>SP091</t>
  </si>
  <si>
    <t>SP180</t>
  </si>
  <si>
    <t>SP121</t>
  </si>
  <si>
    <t>SP210</t>
  </si>
  <si>
    <t>SP001</t>
  </si>
  <si>
    <t>SP116</t>
  </si>
  <si>
    <t>SP073</t>
  </si>
  <si>
    <t>SP035</t>
  </si>
  <si>
    <t>SP221</t>
  </si>
  <si>
    <t>SP086</t>
  </si>
  <si>
    <t>SP230</t>
  </si>
  <si>
    <t>SP026</t>
  </si>
  <si>
    <t>SP250</t>
  </si>
  <si>
    <t>SP134</t>
  </si>
  <si>
    <t>SP187</t>
  </si>
  <si>
    <t>SP146</t>
  </si>
  <si>
    <t>SP161</t>
  </si>
  <si>
    <t>SP037</t>
  </si>
  <si>
    <t>SP145</t>
  </si>
  <si>
    <t>SP077</t>
  </si>
  <si>
    <t>SP119</t>
  </si>
  <si>
    <t>SP264</t>
  </si>
  <si>
    <t>SP217</t>
  </si>
  <si>
    <t>SP188</t>
  </si>
  <si>
    <t>SP244</t>
  </si>
  <si>
    <t>SP040</t>
  </si>
  <si>
    <t>SP153</t>
  </si>
  <si>
    <t>SP022</t>
  </si>
  <si>
    <t>SP238</t>
  </si>
  <si>
    <t>SP009</t>
  </si>
  <si>
    <t>SP265</t>
  </si>
  <si>
    <t>SP080</t>
  </si>
  <si>
    <t>SP013</t>
  </si>
  <si>
    <t>SP212</t>
  </si>
  <si>
    <t>SP222</t>
  </si>
  <si>
    <t>SP213</t>
  </si>
  <si>
    <t>SP164</t>
  </si>
  <si>
    <t>SP298</t>
  </si>
  <si>
    <t>SP129</t>
  </si>
  <si>
    <t>Row Labels</t>
  </si>
  <si>
    <t>Grand Total</t>
  </si>
  <si>
    <t>Sum of Likes</t>
  </si>
  <si>
    <t>Sum of Comments</t>
  </si>
  <si>
    <t>Sum of Shares</t>
  </si>
  <si>
    <t>Sum of Impressions</t>
  </si>
  <si>
    <t>Engagemnt Rate</t>
  </si>
  <si>
    <t>Average of Likes</t>
  </si>
  <si>
    <t>Average of Comments</t>
  </si>
  <si>
    <t>Average of Shares</t>
  </si>
  <si>
    <t>Average of Impressions</t>
  </si>
  <si>
    <t>To Calculate Engagement rate per platfom.Where Engagement Rate=(Likes+Shares+Comments)/Impressions.</t>
  </si>
  <si>
    <t>To create pivot table showing Total Likes,Shares,Comments by Content Type(e.g, Text,Story) And Platform is below.</t>
  </si>
  <si>
    <t>Average of Clicks</t>
  </si>
  <si>
    <t>To calculate Average Clicks per Posts By Hashtag</t>
  </si>
  <si>
    <t>Ranking</t>
  </si>
  <si>
    <t>Engagement Rate</t>
  </si>
  <si>
    <t>Top 10 Posts by Engagement Rate are highligted in Blue in Engagement Rate Column</t>
  </si>
  <si>
    <t>Note:-</t>
  </si>
  <si>
    <t>Sum of Engagement_Rate</t>
  </si>
  <si>
    <t>To Determine Which platform yeilds highest Engagement Rate</t>
  </si>
  <si>
    <r>
      <t xml:space="preserve">From </t>
    </r>
    <r>
      <rPr>
        <b/>
        <sz val="11"/>
        <color theme="1"/>
        <rFont val="Aptos Narrow"/>
        <family val="2"/>
        <scheme val="minor"/>
      </rPr>
      <t>Engagement Summery</t>
    </r>
  </si>
  <si>
    <t>Conclusions</t>
  </si>
  <si>
    <t>Average of Engagement_Rate</t>
  </si>
  <si>
    <t>Twitter Highest Sum and Average Engagement Rate so it Yeilds Highest Engagement Rate.</t>
  </si>
  <si>
    <t>Sum of New_Followers</t>
  </si>
  <si>
    <t>Sum of Unfollows</t>
  </si>
  <si>
    <t>Weekly Fallowers Growth</t>
  </si>
  <si>
    <t>Instagram has gained Highest Fallowers</t>
  </si>
  <si>
    <t>Number of Times Instagram gained Highest Fallowers</t>
  </si>
  <si>
    <t>Number of Times Twitter gained Highest Fallowers</t>
  </si>
  <si>
    <t>Number of Times Youtube gained Highest Fallowers</t>
  </si>
  <si>
    <t>Total Weeks of Performance Considered</t>
  </si>
  <si>
    <t>Total Check</t>
  </si>
  <si>
    <t>To Recommend  focusing on 1-2 platform or continuing multiplatform with Data</t>
  </si>
  <si>
    <t>For this let us first Consider these two data we calculated earliar</t>
  </si>
  <si>
    <t>And the Another Data is</t>
  </si>
  <si>
    <t>Conclusions Using Both Tabels</t>
  </si>
  <si>
    <t xml:space="preserve">    2. Average and Sum of Engagement across platforms is Compitative in nature.</t>
  </si>
  <si>
    <t xml:space="preserve">    3. Even Number of Times of Highest Fallowers gained across platforms is near to each other.</t>
  </si>
  <si>
    <t>Final Recommendation</t>
  </si>
  <si>
    <t xml:space="preserve">    1. All platform Engagement is allmost compitative in nature</t>
  </si>
  <si>
    <t>Use Multiplatform for increasing number of fallowers which influence the App downloads.</t>
  </si>
  <si>
    <r>
      <t xml:space="preserve">To Campare Weekly Growth Across Platforms we can use fallowing Pivot Table From </t>
    </r>
    <r>
      <rPr>
        <b/>
        <sz val="11"/>
        <color theme="1"/>
        <rFont val="Aptos Narrow"/>
        <family val="2"/>
        <scheme val="minor"/>
      </rPr>
      <t xml:space="preserve">Engagement Summary </t>
    </r>
    <r>
      <rPr>
        <sz val="11"/>
        <color theme="1"/>
        <rFont val="Aptos Narrow"/>
        <family val="2"/>
        <scheme val="minor"/>
      </rPr>
      <t>table</t>
    </r>
  </si>
  <si>
    <t>Task2 : Engagement Analysis</t>
  </si>
  <si>
    <t>Task3: Platform Performance Analysis</t>
  </si>
  <si>
    <t>Task4: Hashtag and Content Strategy</t>
  </si>
  <si>
    <t>To find  most frequent hashtags and average engagement for each</t>
  </si>
  <si>
    <t>Using these we can find average of Engagement Rate using above Pivot Table.</t>
  </si>
  <si>
    <t>And for the rest 2 Hash tags used  like  for example #DiscoverWeekly as Hashtag1 and #MusicForEveryone in hashtag2 of posts or #DiscoverWeekly as Hashtag1 and #SoundtrackOfLife as Hashtag2</t>
  </si>
  <si>
    <t>To find Content Type(Text,Story,Reel) Performance across the platforms</t>
  </si>
  <si>
    <t>Frequently used Hashtag</t>
  </si>
  <si>
    <t>Hashtag1</t>
  </si>
  <si>
    <t>Frequently used Hashtag can be taken from below pivot table.</t>
  </si>
  <si>
    <t>Hashtag2(if any)</t>
  </si>
  <si>
    <r>
      <rPr>
        <b/>
        <sz val="11"/>
        <color theme="1"/>
        <rFont val="Aptos Narrow"/>
        <family val="2"/>
        <scheme val="minor"/>
      </rPr>
      <t>Note for Self:-</t>
    </r>
    <r>
      <rPr>
        <sz val="11"/>
        <color theme="1"/>
        <rFont val="Aptos Narrow"/>
        <family val="2"/>
        <scheme val="minor"/>
      </rPr>
      <t xml:space="preserve"> here NoHashTag means there is only one hash tag put for example hashtag1 will be #NowPlaying hashtag2 will be No HashTag Which means only #NowPlaying Was used in post </t>
    </r>
  </si>
  <si>
    <t>Average of Engagement Rate for Hashtag(Hashtags)</t>
  </si>
  <si>
    <t>Now to find average of Engagment rate For Most Frequent Hashtags are below.</t>
  </si>
  <si>
    <t xml:space="preserve">To do this best way is considerig Engagement Rate for Performance from Posts Data set </t>
  </si>
  <si>
    <t>To know type of Contents in Platform we can use pivot table below</t>
  </si>
  <si>
    <t>We will Average  the Engagement Rate  for each Content Type  across Platforms To find its performance and Recommend optimisation based on it</t>
  </si>
  <si>
    <t>Youtube</t>
  </si>
  <si>
    <r>
      <rPr>
        <b/>
        <sz val="11"/>
        <color theme="5" tint="-0.249977111117893"/>
        <rFont val="Aptos Narrow"/>
        <family val="2"/>
        <scheme val="minor"/>
      </rPr>
      <t>Performance</t>
    </r>
    <r>
      <rPr>
        <sz val="11"/>
        <color theme="1"/>
        <rFont val="Aptos Narrow"/>
        <family val="2"/>
        <scheme val="minor"/>
      </rPr>
      <t>(Average of Engagement Rate among them)</t>
    </r>
  </si>
  <si>
    <t xml:space="preserve">    1. Platform Twitter Content Type Story has highest Performance</t>
  </si>
  <si>
    <t xml:space="preserve">    2. Platform Youtube Content Type Text Have lowest Performance</t>
  </si>
  <si>
    <t xml:space="preserve">    3. All the other Platform and Content Type seems to be Performed almost near to that of highest Performance</t>
  </si>
  <si>
    <t xml:space="preserve">  </t>
  </si>
  <si>
    <t>Final Recommendations</t>
  </si>
  <si>
    <t>The best Optimal Content Type is Story and Platform is Twitter.</t>
  </si>
  <si>
    <t>Task5: CampaignEffectiveness</t>
  </si>
  <si>
    <r>
      <t xml:space="preserve">To get this Let us first set up </t>
    </r>
    <r>
      <rPr>
        <b/>
        <sz val="11"/>
        <color theme="1"/>
        <rFont val="Aptos Narrow"/>
        <family val="2"/>
        <scheme val="minor"/>
      </rPr>
      <t>Base Engagement Rate</t>
    </r>
  </si>
  <si>
    <t>here</t>
  </si>
  <si>
    <r>
      <t xml:space="preserve">it is given by </t>
    </r>
    <r>
      <rPr>
        <b/>
        <sz val="11"/>
        <color theme="1"/>
        <rFont val="Aptos Narrow"/>
        <family val="2"/>
        <scheme val="minor"/>
      </rPr>
      <t>Base Engagement Rate={Total Of (Likes+Comments+Shares)/Total Impressions}*100</t>
    </r>
  </si>
  <si>
    <t>Base Engagement Rate         =</t>
  </si>
  <si>
    <t>Music that moves you only on Spotify</t>
  </si>
  <si>
    <t>What is your vibe toda SpotifyHits</t>
  </si>
  <si>
    <t>Wrapped is here Relive your top tracks</t>
  </si>
  <si>
    <t>New music just dropped Hit play</t>
  </si>
  <si>
    <t>From pop to podcasts it is all here</t>
  </si>
  <si>
    <t>Sum Of All Posts Likes =</t>
  </si>
  <si>
    <t>Sum Of All Posts Impressions =</t>
  </si>
  <si>
    <t>Sum Of All Posts Shares =</t>
  </si>
  <si>
    <t>Sum Of All Posts Comments =</t>
  </si>
  <si>
    <t>{Sum Of All Posts (Likes+Comments+Shares)/Sum of all Impressions}*100</t>
  </si>
  <si>
    <r>
      <t xml:space="preserve">Therefore </t>
    </r>
    <r>
      <rPr>
        <b/>
        <sz val="11"/>
        <color theme="1"/>
        <rFont val="Aptos Narrow"/>
        <family val="2"/>
        <scheme val="minor"/>
      </rPr>
      <t>Base Engagement Rat</t>
    </r>
    <r>
      <rPr>
        <sz val="11"/>
        <color theme="1"/>
        <rFont val="Aptos Narrow"/>
        <family val="2"/>
        <scheme val="minor"/>
      </rPr>
      <t>e=</t>
    </r>
  </si>
  <si>
    <t>Engagement upliftment Before Campagin=Engagement Rate Before Campain-BaseEngagement Rate And</t>
  </si>
  <si>
    <t>Engagement upliftment Before Campagin=Engagement Rate During Campain-BaseEngagement Rate</t>
  </si>
  <si>
    <r>
      <t xml:space="preserve">Now we Have Base Engagement Rate lets </t>
    </r>
    <r>
      <rPr>
        <b/>
        <sz val="11"/>
        <color theme="1"/>
        <rFont val="Aptos Narrow"/>
        <family val="2"/>
        <scheme val="minor"/>
      </rPr>
      <t xml:space="preserve">Calculate </t>
    </r>
    <r>
      <rPr>
        <sz val="11"/>
        <color theme="1"/>
        <rFont val="Aptos Narrow"/>
        <family val="2"/>
        <scheme val="minor"/>
      </rPr>
      <t>Engement Upliftment Before And During Campaign using formula</t>
    </r>
  </si>
  <si>
    <t>so let us first calculate Engagement Rate Beofore And During Using Posts And Campaign metadata is below for Each Campaign</t>
  </si>
  <si>
    <t>Follower Growth</t>
  </si>
  <si>
    <t>AboveTable can help us in determining range for each Campaign From Posts Data</t>
  </si>
  <si>
    <t>so let us see Engagement upliftment For Each campaign now.</t>
  </si>
  <si>
    <t>Campaign Name</t>
  </si>
  <si>
    <t xml:space="preserve">        1. SummerBeats</t>
  </si>
  <si>
    <r>
      <t xml:space="preserve">Engagemnt Rate </t>
    </r>
    <r>
      <rPr>
        <b/>
        <sz val="11"/>
        <color theme="1"/>
        <rFont val="Aptos Narrow"/>
        <family val="2"/>
        <scheme val="minor"/>
      </rPr>
      <t>Before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 xml:space="preserve">SummerBeats </t>
    </r>
    <r>
      <rPr>
        <sz val="11"/>
        <color theme="1"/>
        <rFont val="Aptos Narrow"/>
        <family val="2"/>
        <scheme val="minor"/>
      </rPr>
      <t>campaign is below</t>
    </r>
  </si>
  <si>
    <r>
      <t xml:space="preserve">Engagemnt Rate </t>
    </r>
    <r>
      <rPr>
        <b/>
        <sz val="11"/>
        <color theme="1"/>
        <rFont val="Aptos Narrow"/>
        <family val="2"/>
        <scheme val="minor"/>
      </rPr>
      <t>During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 xml:space="preserve">SummerBeats </t>
    </r>
    <r>
      <rPr>
        <sz val="11"/>
        <color theme="1"/>
        <rFont val="Aptos Narrow"/>
        <family val="2"/>
        <scheme val="minor"/>
      </rPr>
      <t>campaign is below</t>
    </r>
  </si>
  <si>
    <r>
      <t xml:space="preserve">Before the </t>
    </r>
    <r>
      <rPr>
        <b/>
        <sz val="11"/>
        <color theme="1"/>
        <rFont val="Aptos Narrow"/>
        <family val="2"/>
        <scheme val="minor"/>
      </rPr>
      <t>Wrapped2024</t>
    </r>
    <r>
      <rPr>
        <sz val="11"/>
        <color theme="1"/>
        <rFont val="Aptos Narrow"/>
        <family val="2"/>
        <scheme val="minor"/>
      </rPr>
      <t xml:space="preserve"> Campaign is below.</t>
    </r>
  </si>
  <si>
    <r>
      <t xml:space="preserve">During the </t>
    </r>
    <r>
      <rPr>
        <b/>
        <sz val="11"/>
        <color theme="1"/>
        <rFont val="Aptos Narrow"/>
        <family val="2"/>
        <scheme val="minor"/>
      </rPr>
      <t>Wrapped2024</t>
    </r>
    <r>
      <rPr>
        <sz val="11"/>
        <color theme="1"/>
        <rFont val="Aptos Narrow"/>
        <family val="2"/>
        <scheme val="minor"/>
      </rPr>
      <t xml:space="preserve"> Campaign is below.</t>
    </r>
  </si>
  <si>
    <t xml:space="preserve">        2. Wrapped2024</t>
  </si>
  <si>
    <t xml:space="preserve">        4. IndieWave</t>
  </si>
  <si>
    <r>
      <t xml:space="preserve">Engagemnt Rate </t>
    </r>
    <r>
      <rPr>
        <b/>
        <sz val="11"/>
        <color theme="1"/>
        <rFont val="Aptos Narrow"/>
        <family val="2"/>
        <scheme val="minor"/>
      </rPr>
      <t>Before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 xml:space="preserve">Wrapped2024 </t>
    </r>
    <r>
      <rPr>
        <sz val="11"/>
        <color theme="1"/>
        <rFont val="Aptos Narrow"/>
        <family val="2"/>
        <scheme val="minor"/>
      </rPr>
      <t>campaign is below</t>
    </r>
  </si>
  <si>
    <r>
      <t xml:space="preserve">Engagemnt Rate </t>
    </r>
    <r>
      <rPr>
        <b/>
        <sz val="11"/>
        <color theme="1"/>
        <rFont val="Aptos Narrow"/>
        <family val="2"/>
        <scheme val="minor"/>
      </rPr>
      <t>During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 xml:space="preserve">Wrapped2024 </t>
    </r>
    <r>
      <rPr>
        <sz val="11"/>
        <color theme="1"/>
        <rFont val="Aptos Narrow"/>
        <family val="2"/>
        <scheme val="minor"/>
      </rPr>
      <t>campaign is below</t>
    </r>
  </si>
  <si>
    <r>
      <t xml:space="preserve">Engagemnt Rate </t>
    </r>
    <r>
      <rPr>
        <b/>
        <sz val="11"/>
        <color theme="1"/>
        <rFont val="Aptos Narrow"/>
        <family val="2"/>
        <scheme val="minor"/>
      </rPr>
      <t>Before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 xml:space="preserve">ChilliVibes </t>
    </r>
    <r>
      <rPr>
        <sz val="11"/>
        <color theme="1"/>
        <rFont val="Aptos Narrow"/>
        <family val="2"/>
        <scheme val="minor"/>
      </rPr>
      <t>campaign is below</t>
    </r>
  </si>
  <si>
    <r>
      <t xml:space="preserve">Engagemnt Rate </t>
    </r>
    <r>
      <rPr>
        <b/>
        <sz val="11"/>
        <color theme="1"/>
        <rFont val="Aptos Narrow"/>
        <family val="2"/>
        <scheme val="minor"/>
      </rPr>
      <t>During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 xml:space="preserve">ChilliVibes </t>
    </r>
    <r>
      <rPr>
        <sz val="11"/>
        <color theme="1"/>
        <rFont val="Aptos Narrow"/>
        <family val="2"/>
        <scheme val="minor"/>
      </rPr>
      <t>campaign is below</t>
    </r>
  </si>
  <si>
    <r>
      <t xml:space="preserve">During the </t>
    </r>
    <r>
      <rPr>
        <b/>
        <sz val="11"/>
        <color theme="1"/>
        <rFont val="Aptos Narrow"/>
        <family val="2"/>
        <scheme val="minor"/>
      </rPr>
      <t>ChilliVibes</t>
    </r>
    <r>
      <rPr>
        <sz val="11"/>
        <color theme="1"/>
        <rFont val="Aptos Narrow"/>
        <family val="2"/>
        <scheme val="minor"/>
      </rPr>
      <t xml:space="preserve"> Campaign is below.</t>
    </r>
  </si>
  <si>
    <r>
      <t xml:space="preserve">Before the </t>
    </r>
    <r>
      <rPr>
        <b/>
        <sz val="11"/>
        <color theme="1"/>
        <rFont val="Aptos Narrow"/>
        <family val="2"/>
        <scheme val="minor"/>
      </rPr>
      <t>ChilliVibes</t>
    </r>
    <r>
      <rPr>
        <sz val="11"/>
        <color theme="1"/>
        <rFont val="Aptos Narrow"/>
        <family val="2"/>
        <scheme val="minor"/>
      </rPr>
      <t xml:space="preserve"> Campaign is below.</t>
    </r>
  </si>
  <si>
    <r>
      <t xml:space="preserve">Engagemnt Rate </t>
    </r>
    <r>
      <rPr>
        <b/>
        <sz val="11"/>
        <color theme="1"/>
        <rFont val="Aptos Narrow"/>
        <family val="2"/>
        <scheme val="minor"/>
      </rPr>
      <t>Before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 xml:space="preserve">IndieWave </t>
    </r>
    <r>
      <rPr>
        <sz val="11"/>
        <color theme="1"/>
        <rFont val="Aptos Narrow"/>
        <family val="2"/>
        <scheme val="minor"/>
      </rPr>
      <t>campaign is below</t>
    </r>
  </si>
  <si>
    <r>
      <t xml:space="preserve">Engagemnt Rate </t>
    </r>
    <r>
      <rPr>
        <b/>
        <sz val="11"/>
        <color theme="1"/>
        <rFont val="Aptos Narrow"/>
        <family val="2"/>
        <scheme val="minor"/>
      </rPr>
      <t>During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 xml:space="preserve">IndieWave </t>
    </r>
    <r>
      <rPr>
        <sz val="11"/>
        <color theme="1"/>
        <rFont val="Aptos Narrow"/>
        <family val="2"/>
        <scheme val="minor"/>
      </rPr>
      <t>campaign is below</t>
    </r>
  </si>
  <si>
    <r>
      <t xml:space="preserve">Before the </t>
    </r>
    <r>
      <rPr>
        <b/>
        <sz val="11"/>
        <color theme="1"/>
        <rFont val="Aptos Narrow"/>
        <family val="2"/>
        <scheme val="minor"/>
      </rPr>
      <t>IndieWave</t>
    </r>
    <r>
      <rPr>
        <sz val="11"/>
        <color theme="1"/>
        <rFont val="Aptos Narrow"/>
        <family val="2"/>
        <scheme val="minor"/>
      </rPr>
      <t xml:space="preserve"> Campaign is below.</t>
    </r>
  </si>
  <si>
    <r>
      <t xml:space="preserve">During the </t>
    </r>
    <r>
      <rPr>
        <b/>
        <sz val="11"/>
        <color theme="1"/>
        <rFont val="Aptos Narrow"/>
        <family val="2"/>
        <scheme val="minor"/>
      </rPr>
      <t>IndieWave</t>
    </r>
    <r>
      <rPr>
        <sz val="11"/>
        <color theme="1"/>
        <rFont val="Aptos Narrow"/>
        <family val="2"/>
        <scheme val="minor"/>
      </rPr>
      <t xml:space="preserve"> Campaign is below.</t>
    </r>
  </si>
  <si>
    <r>
      <t xml:space="preserve">During the </t>
    </r>
    <r>
      <rPr>
        <b/>
        <sz val="11"/>
        <color theme="1"/>
        <rFont val="Aptos Narrow"/>
        <family val="2"/>
        <scheme val="minor"/>
      </rPr>
      <t>Summer Beats</t>
    </r>
    <r>
      <rPr>
        <sz val="11"/>
        <color theme="1"/>
        <rFont val="Aptos Narrow"/>
        <family val="2"/>
        <scheme val="minor"/>
      </rPr>
      <t xml:space="preserve"> Campaign is below.</t>
    </r>
  </si>
  <si>
    <r>
      <t xml:space="preserve">Before the </t>
    </r>
    <r>
      <rPr>
        <b/>
        <sz val="11"/>
        <color theme="1"/>
        <rFont val="Aptos Narrow"/>
        <family val="2"/>
        <scheme val="minor"/>
      </rPr>
      <t>Summer Beats</t>
    </r>
    <r>
      <rPr>
        <sz val="11"/>
        <color theme="1"/>
        <rFont val="Aptos Narrow"/>
        <family val="2"/>
        <scheme val="minor"/>
      </rPr>
      <t xml:space="preserve"> Campaign is below.</t>
    </r>
  </si>
  <si>
    <t>ROI</t>
  </si>
  <si>
    <t>To find Campaign with highest ROI</t>
  </si>
  <si>
    <t>Top 25 Posts by Ranking are Highligted by Pink Background in Ranking Column.</t>
  </si>
  <si>
    <t xml:space="preserve">To Easily Find out these Corresponding Cell styles also Changed. For top 10 posts having Highest Engagement And Rank a Gradient of Blue and Pink is done. For to 25 Ranked posts Pink Background has been put. </t>
  </si>
  <si>
    <t>To Plot graph of Ad Spend V/s Engagement Summery.</t>
  </si>
  <si>
    <r>
      <t xml:space="preserve">From </t>
    </r>
    <r>
      <rPr>
        <b/>
        <sz val="11"/>
        <color theme="1"/>
        <rFont val="Aptos Narrow"/>
        <family val="2"/>
        <scheme val="minor"/>
      </rPr>
      <t>Engagement Summery</t>
    </r>
    <r>
      <rPr>
        <sz val="11"/>
        <color theme="1"/>
        <rFont val="Aptos Narrow"/>
        <family val="2"/>
        <scheme val="minor"/>
      </rPr>
      <t xml:space="preserve"> Sheet We Obtain this Graph.</t>
    </r>
  </si>
  <si>
    <t>To find Engagement upliftment during and before vs during campaign</t>
  </si>
  <si>
    <t>Engement Upliftment For Each Campaign Before And During are Below.</t>
  </si>
  <si>
    <r>
      <t xml:space="preserve">     1.For  </t>
    </r>
    <r>
      <rPr>
        <b/>
        <sz val="11"/>
        <color theme="1"/>
        <rFont val="Aptos Narrow"/>
        <family val="2"/>
        <scheme val="minor"/>
      </rPr>
      <t>SummerBeats</t>
    </r>
    <r>
      <rPr>
        <sz val="11"/>
        <color theme="1"/>
        <rFont val="Aptos Narrow"/>
        <family val="2"/>
        <scheme val="minor"/>
      </rPr>
      <t xml:space="preserve"> Campaign</t>
    </r>
  </si>
  <si>
    <t>Engagement Upliftment Before Campaign=</t>
  </si>
  <si>
    <t>Engagement Upliftment During Campaign=</t>
  </si>
  <si>
    <r>
      <t xml:space="preserve">     2.For  </t>
    </r>
    <r>
      <rPr>
        <b/>
        <sz val="11"/>
        <color theme="1"/>
        <rFont val="Aptos Narrow"/>
        <family val="2"/>
        <scheme val="minor"/>
      </rPr>
      <t>Wrapped2024</t>
    </r>
    <r>
      <rPr>
        <sz val="11"/>
        <color theme="1"/>
        <rFont val="Aptos Narrow"/>
        <family val="2"/>
        <scheme val="minor"/>
      </rPr>
      <t xml:space="preserve"> Campaign</t>
    </r>
  </si>
  <si>
    <r>
      <t xml:space="preserve">     3.For  </t>
    </r>
    <r>
      <rPr>
        <b/>
        <sz val="11"/>
        <color theme="1"/>
        <rFont val="Aptos Narrow"/>
        <family val="2"/>
        <scheme val="minor"/>
      </rPr>
      <t>ChillVibes</t>
    </r>
    <r>
      <rPr>
        <sz val="11"/>
        <color theme="1"/>
        <rFont val="Aptos Narrow"/>
        <family val="2"/>
        <scheme val="minor"/>
      </rPr>
      <t xml:space="preserve"> Campaign</t>
    </r>
  </si>
  <si>
    <r>
      <t xml:space="preserve">     4.For  </t>
    </r>
    <r>
      <rPr>
        <b/>
        <sz val="11"/>
        <color theme="1"/>
        <rFont val="Aptos Narrow"/>
        <family val="2"/>
        <scheme val="minor"/>
      </rPr>
      <t>IndieWave</t>
    </r>
    <r>
      <rPr>
        <sz val="11"/>
        <color theme="1"/>
        <rFont val="Aptos Narrow"/>
        <family val="2"/>
        <scheme val="minor"/>
      </rPr>
      <t xml:space="preserve"> Campaign</t>
    </r>
  </si>
  <si>
    <t>8.03-8.48=</t>
  </si>
  <si>
    <t>8.21-8.48=</t>
  </si>
  <si>
    <t>8.44-8.48=</t>
  </si>
  <si>
    <t>8.30-8.48=</t>
  </si>
  <si>
    <t>To Find Total and average Impressions,Likes,Clicks per Campaign</t>
  </si>
  <si>
    <t>To Ease This Let us Take Campaign name  Start And End Date in a table Using Campaign Metadata Sheet.</t>
  </si>
  <si>
    <t>Total Impressions</t>
  </si>
  <si>
    <t>Total Likes</t>
  </si>
  <si>
    <t>Total Clicks</t>
  </si>
  <si>
    <t>Average Impressions</t>
  </si>
  <si>
    <t>Average Clicks</t>
  </si>
  <si>
    <t>Average Likes</t>
  </si>
  <si>
    <t>now let us use SUMIFS and AVERAGEIFS To Find the same For Each campaign as below in Table..</t>
  </si>
  <si>
    <t>8.26-8.48=</t>
  </si>
  <si>
    <t>9.22-8.48=</t>
  </si>
  <si>
    <t>10.66-8.48=</t>
  </si>
  <si>
    <t>10.30-8.48=</t>
  </si>
  <si>
    <t>The below Table helps to find ROI of pertiular Campaigns.</t>
  </si>
  <si>
    <t>Now let us use above table and Find Average ROI of each Campaign using AVERAGEIFS function and later decide which campaign has highest average ROI as in table below.</t>
  </si>
  <si>
    <t>ROI(Average Of ROI's During Campaign)</t>
  </si>
  <si>
    <t>Now from Table we can say Campaign IndieWave have highest ROI During Campaign.</t>
  </si>
  <si>
    <t>To Find Campaign with Strongest Follower or App download growth</t>
  </si>
  <si>
    <t>Same like previous task let us Take Help of the Table of Dates To Find it.</t>
  </si>
  <si>
    <t>Now let us use above table and Sum of Fallowers of each Campaign using SUMIFS function and later decide which campaign has highest Followers Growth.</t>
  </si>
  <si>
    <t>Fallowers Growth</t>
  </si>
  <si>
    <t>Now from Table we can say Campaign ChillVibes has highest Fallowers Growth during Campaign.</t>
  </si>
  <si>
    <t>Fallowers Gain</t>
  </si>
  <si>
    <t>Task6: Follower Retention &amp; Loyalty</t>
  </si>
  <si>
    <t>To identify week with highest net fallower gain</t>
  </si>
  <si>
    <t>We know Fallowergain=New Followers-Unfollows Let us use  below pivot table and find Fallower Gain for Each week using Engagement Summery Data.</t>
  </si>
  <si>
    <t>To identify the week with maximum followers we have to calculate maximum followers  by MAX function as below.</t>
  </si>
  <si>
    <t>Maximum Followers=</t>
  </si>
  <si>
    <t>No Let us Use this and conditional formating to Highlight perticular week.</t>
  </si>
  <si>
    <t>We have highligted Perticular week.</t>
  </si>
  <si>
    <r>
      <t>Therefore</t>
    </r>
    <r>
      <rPr>
        <b/>
        <sz val="11"/>
        <color theme="1"/>
        <rFont val="Aptos Narrow"/>
        <family val="2"/>
        <scheme val="minor"/>
      </rPr>
      <t xml:space="preserve"> Week with highest fallower growth</t>
    </r>
    <r>
      <rPr>
        <sz val="11"/>
        <color theme="1"/>
        <rFont val="Aptos Narrow"/>
        <family val="2"/>
        <scheme val="minor"/>
      </rPr>
      <t xml:space="preserve"> starts from</t>
    </r>
    <r>
      <rPr>
        <b/>
        <sz val="11"/>
        <color theme="1"/>
        <rFont val="Aptos Narrow"/>
        <family val="2"/>
        <scheme val="minor"/>
      </rPr>
      <t>04-11-2024</t>
    </r>
    <r>
      <rPr>
        <sz val="11"/>
        <color theme="1"/>
        <rFont val="Aptos Narrow"/>
        <family val="2"/>
        <scheme val="minor"/>
      </rPr>
      <t xml:space="preserve"> and end with 11-11-2024</t>
    </r>
  </si>
  <si>
    <t>Week Start Date</t>
  </si>
  <si>
    <r>
      <t xml:space="preserve">To Campare Weekly Growth Across Platforms we can use following Pivot Table From </t>
    </r>
    <r>
      <rPr>
        <b/>
        <sz val="11"/>
        <color theme="1"/>
        <rFont val="Aptos Narrow"/>
        <family val="2"/>
        <scheme val="minor"/>
      </rPr>
      <t xml:space="preserve">Engagement Summery </t>
    </r>
    <r>
      <rPr>
        <sz val="11"/>
        <color theme="1"/>
        <rFont val="Aptos Narrow"/>
        <family val="2"/>
        <scheme val="minor"/>
      </rPr>
      <t>table</t>
    </r>
  </si>
  <si>
    <t>Instagram has gained Highest Followers</t>
  </si>
  <si>
    <t>Number of Times Instagram gained Highest Followers</t>
  </si>
  <si>
    <t>Number of Times Twitter gained Highest Followers</t>
  </si>
  <si>
    <t>Number of Times Youtube gained Highest Followers</t>
  </si>
  <si>
    <t>To Plot Moving Chart to analyse follower trends</t>
  </si>
  <si>
    <t>Column1</t>
  </si>
  <si>
    <t>For this Engagement Summery has been used.</t>
  </si>
  <si>
    <t>For plotting the graph interval is used as 2 which gives average from previous to next week and graph has been plotted.</t>
  </si>
  <si>
    <t>Task 6:Follower Retention &amp; Loyalty</t>
  </si>
  <si>
    <t>To Correlate between Ad Spend vs Follower Growth/App Downloads.</t>
  </si>
  <si>
    <r>
      <t xml:space="preserve">and </t>
    </r>
    <r>
      <rPr>
        <b/>
        <sz val="11"/>
        <color theme="1"/>
        <rFont val="Aptos Narrow"/>
        <family val="2"/>
        <scheme val="minor"/>
      </rPr>
      <t>Cost Per Follower=Total Ad Spend/Follower Gained</t>
    </r>
    <r>
      <rPr>
        <sz val="11"/>
        <color theme="1"/>
        <rFont val="Aptos Narrow"/>
        <family val="2"/>
        <scheme val="minor"/>
      </rPr>
      <t>.</t>
    </r>
  </si>
  <si>
    <r>
      <t xml:space="preserve">To relate them we need Starting Follower Count and ending fallower count. For each platform, since </t>
    </r>
    <r>
      <rPr>
        <b/>
        <sz val="11"/>
        <color theme="1"/>
        <rFont val="Aptos Narrow"/>
        <family val="2"/>
        <scheme val="minor"/>
      </rPr>
      <t>Follower Growth Rate%=(Ending Follower Count-Starting Follower Count)/Starting Follower Count*100</t>
    </r>
  </si>
  <si>
    <t>so let us calculate Follower Growth Rate%</t>
  </si>
  <si>
    <t>Fallower Growth Rate% For Twitter=</t>
  </si>
  <si>
    <t>now let us calculate Cost Per Follower</t>
  </si>
  <si>
    <t>Cost per Follower for Twitter=</t>
  </si>
  <si>
    <t>let us first calculate total Ad spend And Total Follower gained.</t>
  </si>
  <si>
    <t>Total add spent for Twitter=</t>
  </si>
  <si>
    <t>Total Follower Gained from Twitter=</t>
  </si>
  <si>
    <r>
      <t xml:space="preserve">For this let us consider </t>
    </r>
    <r>
      <rPr>
        <b/>
        <sz val="11"/>
        <color theme="1"/>
        <rFont val="Aptos Narrow"/>
        <family val="2"/>
        <scheme val="minor"/>
      </rPr>
      <t>EngagementSummery</t>
    </r>
    <r>
      <rPr>
        <sz val="11"/>
        <color theme="1"/>
        <rFont val="Aptos Narrow"/>
        <family val="2"/>
        <scheme val="minor"/>
      </rPr>
      <t xml:space="preserve"> data sheet. For Twitter platform here.</t>
    </r>
  </si>
  <si>
    <t>Sum of comments</t>
  </si>
  <si>
    <t xml:space="preserve">        3. ChillVibes</t>
  </si>
  <si>
    <t>https://drive.google.com/file/d/1KT127hXHZA4omEFat3genqMWasPRjETM/view?usp=sharing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</si>
</sst>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8" tint="-0.499984740745262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7C8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2F2F2"/>
      </patternFill>
    </fill>
    <fill>
      <gradientFill degree="45">
        <stop position="0">
          <color theme="4" tint="0.40000610370189521"/>
        </stop>
        <stop position="1">
          <color rgb="FFFF7C80"/>
        </stop>
      </gradient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6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2" fillId="3" borderId="0"/>
    <xf numFmtId="0" fontId="6" fillId="8" borderId="6" applyNumberFormat="0" applyAlignment="0" applyProtection="0"/>
    <xf numFmtId="0" fontId="7" fillId="8" borderId="5" applyNumberFormat="0" applyAlignment="0" applyProtection="0"/>
    <xf numFmtId="0" fontId="2" fillId="9" borderId="0"/>
    <xf numFmtId="0" fontId="8" fillId="10" borderId="0" applyNumberFormat="0" applyBorder="0" applyAlignment="0" applyProtection="0"/>
    <xf numFmtId="0" fontId="5" fillId="11" borderId="8" applyNumberFormat="0" applyAlignment="0" applyProtection="0"/>
    <xf numFmtId="0" fontId="2" fillId="12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1" xfId="0" applyFont="1" applyFill="1" applyBorder="1"/>
    <xf numFmtId="1" fontId="0" fillId="0" borderId="0" xfId="0" applyNumberFormat="1"/>
    <xf numFmtId="0" fontId="0" fillId="0" borderId="0" xfId="0" applyAlignment="1">
      <alignment horizontal="left" indent="1"/>
    </xf>
    <xf numFmtId="0" fontId="1" fillId="0" borderId="0" xfId="0" applyFont="1"/>
    <xf numFmtId="0" fontId="0" fillId="0" borderId="0" xfId="0" applyAlignment="1">
      <alignment horizontal="left" indent="2"/>
    </xf>
    <xf numFmtId="0" fontId="2" fillId="3" borderId="0" xfId="1"/>
    <xf numFmtId="0" fontId="0" fillId="3" borderId="0" xfId="0" applyNumberFormat="1" applyFont="1" applyFill="1" applyBorder="1" applyAlignment="1" applyProtection="1"/>
    <xf numFmtId="14" fontId="0" fillId="0" borderId="0" xfId="0" applyNumberFormat="1" applyAlignment="1">
      <alignment horizontal="left"/>
    </xf>
    <xf numFmtId="0" fontId="1" fillId="0" borderId="1" xfId="0" applyNumberFormat="1" applyFont="1" applyBorder="1"/>
    <xf numFmtId="0" fontId="1" fillId="2" borderId="2" xfId="0" applyNumberFormat="1" applyFont="1" applyFill="1" applyBorder="1"/>
    <xf numFmtId="0" fontId="0" fillId="0" borderId="0" xfId="0" applyAlignment="1"/>
    <xf numFmtId="0" fontId="1" fillId="0" borderId="0" xfId="0" applyFont="1" applyAlignment="1">
      <alignment horizontal="left"/>
    </xf>
    <xf numFmtId="0" fontId="1" fillId="0" borderId="0" xfId="0" applyFont="1" applyAlignment="1"/>
    <xf numFmtId="0" fontId="0" fillId="0" borderId="0" xfId="0" applyFill="1" applyBorder="1" applyAlignment="1">
      <alignment horizontal="left" indent="1"/>
    </xf>
    <xf numFmtId="0" fontId="0" fillId="5" borderId="0" xfId="0" applyFill="1" applyBorder="1" applyAlignment="1">
      <alignment horizontal="left" indent="1"/>
    </xf>
    <xf numFmtId="0" fontId="0" fillId="5" borderId="0" xfId="0" applyFill="1"/>
    <xf numFmtId="0" fontId="1" fillId="5" borderId="0" xfId="0" applyFont="1" applyFill="1"/>
    <xf numFmtId="0" fontId="1" fillId="0" borderId="0" xfId="0" applyFont="1" applyAlignment="1">
      <alignment horizontal="left" indent="1"/>
    </xf>
    <xf numFmtId="14" fontId="2" fillId="3" borderId="0" xfId="1" applyNumberFormat="1"/>
    <xf numFmtId="0" fontId="0" fillId="5" borderId="0" xfId="0" applyFill="1" applyAlignment="1">
      <alignment horizontal="left" indent="1"/>
    </xf>
    <xf numFmtId="0" fontId="5" fillId="6" borderId="3" xfId="0" applyFont="1" applyFill="1" applyBorder="1"/>
    <xf numFmtId="0" fontId="5" fillId="6" borderId="4" xfId="0" applyFont="1" applyFill="1" applyBorder="1"/>
    <xf numFmtId="2" fontId="1" fillId="0" borderId="0" xfId="0" applyNumberFormat="1" applyFont="1"/>
    <xf numFmtId="0" fontId="0" fillId="7" borderId="3" xfId="0" applyNumberFormat="1" applyFont="1" applyFill="1" applyBorder="1"/>
    <xf numFmtId="14" fontId="0" fillId="7" borderId="4" xfId="0" applyNumberFormat="1" applyFont="1" applyFill="1" applyBorder="1"/>
    <xf numFmtId="0" fontId="0" fillId="0" borderId="3" xfId="0" applyNumberFormat="1" applyFont="1" applyBorder="1"/>
    <xf numFmtId="14" fontId="0" fillId="0" borderId="4" xfId="0" applyNumberFormat="1" applyFont="1" applyBorder="1"/>
    <xf numFmtId="164" fontId="0" fillId="0" borderId="0" xfId="0" applyNumberFormat="1"/>
    <xf numFmtId="2" fontId="0" fillId="0" borderId="0" xfId="0" applyNumberFormat="1"/>
    <xf numFmtId="2" fontId="2" fillId="3" borderId="0" xfId="1" applyNumberFormat="1"/>
    <xf numFmtId="0" fontId="0" fillId="0" borderId="0" xfId="0"/>
    <xf numFmtId="0" fontId="2" fillId="9" borderId="0" xfId="4"/>
    <xf numFmtId="0" fontId="6" fillId="8" borderId="6" xfId="2"/>
    <xf numFmtId="0" fontId="7" fillId="8" borderId="5" xfId="3"/>
    <xf numFmtId="49" fontId="7" fillId="8" borderId="5" xfId="3" applyNumberFormat="1"/>
    <xf numFmtId="14" fontId="2" fillId="9" borderId="0" xfId="4" applyNumberFormat="1"/>
    <xf numFmtId="0" fontId="0" fillId="0" borderId="0" xfId="0" applyFill="1" applyBorder="1"/>
    <xf numFmtId="0" fontId="5" fillId="6" borderId="4" xfId="0" applyFont="1" applyFill="1" applyBorder="1" applyAlignment="1">
      <alignment horizontal="center"/>
    </xf>
    <xf numFmtId="14" fontId="0" fillId="7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8" fillId="10" borderId="0" xfId="5" applyBorder="1"/>
    <xf numFmtId="0" fontId="8" fillId="10" borderId="0" xfId="5"/>
    <xf numFmtId="0" fontId="2" fillId="12" borderId="0" xfId="7" applyBorder="1"/>
    <xf numFmtId="0" fontId="2" fillId="12" borderId="0" xfId="7"/>
    <xf numFmtId="0" fontId="5" fillId="11" borderId="8" xfId="6"/>
    <xf numFmtId="14" fontId="9" fillId="0" borderId="7" xfId="0" applyNumberFormat="1" applyFont="1" applyBorder="1" applyAlignment="1">
      <alignment horizontal="left"/>
    </xf>
    <xf numFmtId="0" fontId="9" fillId="0" borderId="7" xfId="0" applyNumberFormat="1" applyFont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1" fillId="4" borderId="0" xfId="0" applyFont="1" applyFill="1" applyAlignment="1">
      <alignment horizontal="center"/>
    </xf>
    <xf numFmtId="0" fontId="5" fillId="11" borderId="8" xfId="6" applyAlignment="1">
      <alignment horizontal="center"/>
    </xf>
    <xf numFmtId="0" fontId="10" fillId="0" borderId="0" xfId="8" applyAlignment="1">
      <alignment horizontal="center"/>
    </xf>
  </cellXfs>
  <cellStyles count="9">
    <cellStyle name="60% - Accent3" xfId="7" builtinId="40"/>
    <cellStyle name="Calculation" xfId="3" builtinId="22"/>
    <cellStyle name="Check Cell" xfId="6" builtinId="23"/>
    <cellStyle name="Good" xfId="5" builtinId="26"/>
    <cellStyle name="Hyperlink" xfId="8" builtinId="8"/>
    <cellStyle name="Normal" xfId="0" builtinId="0"/>
    <cellStyle name="Output" xfId="2" builtinId="21"/>
    <cellStyle name="Style 1" xfId="1" xr:uid="{A525F5A7-A264-48CD-B5CE-ED67E5ED5477}"/>
    <cellStyle name="Style 2" xfId="4" xr:uid="{01114F33-8770-475E-B00E-4635BAAECC2B}"/>
  </cellStyles>
  <dxfs count="39">
    <dxf>
      <fill>
        <patternFill>
          <bgColor theme="3" tint="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rgb="FFFF7C80"/>
        </patternFill>
      </fill>
    </dxf>
    <dxf>
      <fill>
        <patternFill>
          <bgColor theme="4" tint="0.39994506668294322"/>
        </patternFill>
      </fill>
    </dxf>
    <dxf>
      <fill>
        <patternFill>
          <bgColor rgb="FFFF7C80"/>
        </patternFill>
      </fill>
    </dxf>
    <dxf>
      <fill>
        <patternFill>
          <bgColor theme="4" tint="0.39994506668294322"/>
        </patternFill>
      </fill>
    </dxf>
    <dxf>
      <fill>
        <patternFill>
          <bgColor rgb="FFFF7C80"/>
        </patternFill>
      </fill>
    </dxf>
    <dxf>
      <fill>
        <patternFill>
          <bgColor theme="4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Aptos Narrow"/>
        <family val="2"/>
        <scheme val="minor"/>
      </font>
      <border diagonalUp="0" diagonalDown="0" outline="0">
        <left/>
        <right/>
        <top/>
        <bottom style="double">
          <color rgb="FFFF80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Aptos Narrow"/>
        <family val="2"/>
        <scheme val="minor"/>
      </font>
      <border diagonalUp="0" diagonalDown="0" outline="0">
        <left/>
        <right/>
        <top/>
        <bottom style="double">
          <color rgb="FFFF8001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FF7C8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FF7C8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" formatCode="0"/>
    </dxf>
    <dxf>
      <numFmt numFmtId="1" formatCode="0"/>
    </dxf>
    <dxf>
      <numFmt numFmtId="164" formatCode="0.0000000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</dxfs>
  <tableStyles count="0" defaultTableStyle="TableStyleMedium2" defaultPivotStyle="PivotStyleLight16"/>
  <colors>
    <mruColors>
      <color rgb="FF29292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0" normalizeH="0" baseline="0">
                <a:ln w="0">
                  <a:solidFill>
                    <a:schemeClr val="tx1"/>
                  </a:solidFill>
                </a:ln>
                <a:solidFill>
                  <a:schemeClr val="tx1"/>
                </a:solidFill>
                <a:effectLst/>
                <a:latin typeface="+mj-lt"/>
                <a:ea typeface="+mj-ea"/>
                <a:cs typeface="+mj-cs"/>
              </a:defRPr>
            </a:pPr>
            <a:r>
              <a:rPr lang="en-US"/>
              <a:t>Ad_Spend V/s Engagement Rate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0" normalizeH="0" baseline="0">
              <a:ln w="0">
                <a:solidFill>
                  <a:schemeClr val="tx1"/>
                </a:solidFill>
              </a:ln>
              <a:solidFill>
                <a:schemeClr val="tx1"/>
              </a:solidFill>
              <a:effectLst/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'Engagement Summary'!$G$1</c:f>
              <c:strCache>
                <c:ptCount val="1"/>
                <c:pt idx="0">
                  <c:v>Ad_Spend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'Engagement Summary'!$F$2:$F$201</c:f>
              <c:numCache>
                <c:formatCode>General</c:formatCode>
                <c:ptCount val="200"/>
                <c:pt idx="0">
                  <c:v>9.92</c:v>
                </c:pt>
                <c:pt idx="1">
                  <c:v>8.0500000000000007</c:v>
                </c:pt>
                <c:pt idx="2">
                  <c:v>7.72</c:v>
                </c:pt>
                <c:pt idx="3">
                  <c:v>9.4</c:v>
                </c:pt>
                <c:pt idx="4">
                  <c:v>9.02</c:v>
                </c:pt>
                <c:pt idx="5">
                  <c:v>9.9600000000000009</c:v>
                </c:pt>
                <c:pt idx="6">
                  <c:v>5.29</c:v>
                </c:pt>
                <c:pt idx="7">
                  <c:v>8.3000000000000007</c:v>
                </c:pt>
                <c:pt idx="8">
                  <c:v>4.66</c:v>
                </c:pt>
                <c:pt idx="9">
                  <c:v>9.48</c:v>
                </c:pt>
                <c:pt idx="10">
                  <c:v>7.11</c:v>
                </c:pt>
                <c:pt idx="11">
                  <c:v>9.65</c:v>
                </c:pt>
                <c:pt idx="12">
                  <c:v>4.33</c:v>
                </c:pt>
                <c:pt idx="13">
                  <c:v>5.43</c:v>
                </c:pt>
                <c:pt idx="14">
                  <c:v>4.5199999999999996</c:v>
                </c:pt>
                <c:pt idx="15">
                  <c:v>8.52</c:v>
                </c:pt>
                <c:pt idx="16">
                  <c:v>8.5500000000000007</c:v>
                </c:pt>
                <c:pt idx="17">
                  <c:v>7.99</c:v>
                </c:pt>
                <c:pt idx="18">
                  <c:v>6.31</c:v>
                </c:pt>
                <c:pt idx="19">
                  <c:v>8.5299999999999994</c:v>
                </c:pt>
                <c:pt idx="20">
                  <c:v>8.42</c:v>
                </c:pt>
                <c:pt idx="21">
                  <c:v>4.2</c:v>
                </c:pt>
                <c:pt idx="22">
                  <c:v>9.34</c:v>
                </c:pt>
                <c:pt idx="23">
                  <c:v>5.65</c:v>
                </c:pt>
                <c:pt idx="24">
                  <c:v>3.55</c:v>
                </c:pt>
                <c:pt idx="25">
                  <c:v>3.87</c:v>
                </c:pt>
                <c:pt idx="26">
                  <c:v>5.82</c:v>
                </c:pt>
                <c:pt idx="27">
                  <c:v>9.92</c:v>
                </c:pt>
                <c:pt idx="28">
                  <c:v>8.17</c:v>
                </c:pt>
                <c:pt idx="29">
                  <c:v>5.3</c:v>
                </c:pt>
                <c:pt idx="30">
                  <c:v>5.98</c:v>
                </c:pt>
                <c:pt idx="31">
                  <c:v>7.49</c:v>
                </c:pt>
                <c:pt idx="32">
                  <c:v>9.3800000000000008</c:v>
                </c:pt>
                <c:pt idx="33">
                  <c:v>6.05</c:v>
                </c:pt>
                <c:pt idx="34">
                  <c:v>5.84</c:v>
                </c:pt>
                <c:pt idx="35">
                  <c:v>5.41</c:v>
                </c:pt>
                <c:pt idx="36">
                  <c:v>7.17</c:v>
                </c:pt>
                <c:pt idx="37">
                  <c:v>5.87</c:v>
                </c:pt>
                <c:pt idx="38">
                  <c:v>7.54</c:v>
                </c:pt>
                <c:pt idx="39">
                  <c:v>6.05</c:v>
                </c:pt>
                <c:pt idx="40">
                  <c:v>7.51</c:v>
                </c:pt>
                <c:pt idx="41">
                  <c:v>7.66</c:v>
                </c:pt>
                <c:pt idx="42">
                  <c:v>7.83</c:v>
                </c:pt>
                <c:pt idx="43">
                  <c:v>6.03</c:v>
                </c:pt>
                <c:pt idx="44">
                  <c:v>3.4</c:v>
                </c:pt>
                <c:pt idx="45">
                  <c:v>9.52</c:v>
                </c:pt>
                <c:pt idx="46">
                  <c:v>3.36</c:v>
                </c:pt>
                <c:pt idx="47">
                  <c:v>8.76</c:v>
                </c:pt>
                <c:pt idx="48">
                  <c:v>8.06</c:v>
                </c:pt>
                <c:pt idx="49">
                  <c:v>5.57</c:v>
                </c:pt>
                <c:pt idx="50">
                  <c:v>9.2200000000000006</c:v>
                </c:pt>
                <c:pt idx="51">
                  <c:v>3.45</c:v>
                </c:pt>
                <c:pt idx="52">
                  <c:v>9.58</c:v>
                </c:pt>
                <c:pt idx="53">
                  <c:v>8.8800000000000008</c:v>
                </c:pt>
                <c:pt idx="54">
                  <c:v>6.23</c:v>
                </c:pt>
                <c:pt idx="55">
                  <c:v>8.4499999999999993</c:v>
                </c:pt>
                <c:pt idx="56">
                  <c:v>8.4</c:v>
                </c:pt>
                <c:pt idx="57">
                  <c:v>7.34</c:v>
                </c:pt>
                <c:pt idx="58">
                  <c:v>8.14</c:v>
                </c:pt>
                <c:pt idx="59">
                  <c:v>9.58</c:v>
                </c:pt>
                <c:pt idx="60">
                  <c:v>4.4800000000000004</c:v>
                </c:pt>
                <c:pt idx="61">
                  <c:v>8.19</c:v>
                </c:pt>
                <c:pt idx="62">
                  <c:v>8.06</c:v>
                </c:pt>
                <c:pt idx="63">
                  <c:v>4.5199999999999996</c:v>
                </c:pt>
                <c:pt idx="64">
                  <c:v>5.42</c:v>
                </c:pt>
                <c:pt idx="65">
                  <c:v>4.08</c:v>
                </c:pt>
                <c:pt idx="66">
                  <c:v>4.0599999999999996</c:v>
                </c:pt>
                <c:pt idx="67">
                  <c:v>9.91</c:v>
                </c:pt>
                <c:pt idx="68">
                  <c:v>8.7200000000000006</c:v>
                </c:pt>
                <c:pt idx="69">
                  <c:v>8.3800000000000008</c:v>
                </c:pt>
                <c:pt idx="70">
                  <c:v>7.56</c:v>
                </c:pt>
                <c:pt idx="71">
                  <c:v>7.24</c:v>
                </c:pt>
                <c:pt idx="72">
                  <c:v>6.62</c:v>
                </c:pt>
                <c:pt idx="73">
                  <c:v>6.36</c:v>
                </c:pt>
                <c:pt idx="74">
                  <c:v>4.53</c:v>
                </c:pt>
                <c:pt idx="75">
                  <c:v>9</c:v>
                </c:pt>
                <c:pt idx="76">
                  <c:v>8.83</c:v>
                </c:pt>
                <c:pt idx="77">
                  <c:v>9.7100000000000009</c:v>
                </c:pt>
                <c:pt idx="78">
                  <c:v>6.68</c:v>
                </c:pt>
                <c:pt idx="79">
                  <c:v>5.51</c:v>
                </c:pt>
                <c:pt idx="80">
                  <c:v>7.97</c:v>
                </c:pt>
                <c:pt idx="81">
                  <c:v>9.18</c:v>
                </c:pt>
                <c:pt idx="82">
                  <c:v>6.44</c:v>
                </c:pt>
                <c:pt idx="83">
                  <c:v>5.0199999999999996</c:v>
                </c:pt>
                <c:pt idx="84">
                  <c:v>3.27</c:v>
                </c:pt>
                <c:pt idx="85">
                  <c:v>9.17</c:v>
                </c:pt>
                <c:pt idx="86">
                  <c:v>4.53</c:v>
                </c:pt>
                <c:pt idx="87">
                  <c:v>5.31</c:v>
                </c:pt>
                <c:pt idx="88">
                  <c:v>6.03</c:v>
                </c:pt>
                <c:pt idx="89">
                  <c:v>8.89</c:v>
                </c:pt>
                <c:pt idx="90">
                  <c:v>4.79</c:v>
                </c:pt>
                <c:pt idx="91">
                  <c:v>4.8</c:v>
                </c:pt>
                <c:pt idx="92">
                  <c:v>4.07</c:v>
                </c:pt>
                <c:pt idx="93">
                  <c:v>6.06</c:v>
                </c:pt>
                <c:pt idx="94">
                  <c:v>7.79</c:v>
                </c:pt>
                <c:pt idx="95">
                  <c:v>9.0500000000000007</c:v>
                </c:pt>
                <c:pt idx="96">
                  <c:v>8.76</c:v>
                </c:pt>
                <c:pt idx="97">
                  <c:v>6.26</c:v>
                </c:pt>
                <c:pt idx="98">
                  <c:v>3.5</c:v>
                </c:pt>
                <c:pt idx="99">
                  <c:v>6.03</c:v>
                </c:pt>
                <c:pt idx="100">
                  <c:v>3.33</c:v>
                </c:pt>
                <c:pt idx="101">
                  <c:v>9.15</c:v>
                </c:pt>
                <c:pt idx="102">
                  <c:v>9.82</c:v>
                </c:pt>
                <c:pt idx="103">
                  <c:v>3.7</c:v>
                </c:pt>
                <c:pt idx="104">
                  <c:v>3.35</c:v>
                </c:pt>
                <c:pt idx="105">
                  <c:v>7.31</c:v>
                </c:pt>
                <c:pt idx="106">
                  <c:v>3.13</c:v>
                </c:pt>
                <c:pt idx="107">
                  <c:v>4.8899999999999997</c:v>
                </c:pt>
                <c:pt idx="108">
                  <c:v>8.6300000000000008</c:v>
                </c:pt>
                <c:pt idx="109">
                  <c:v>8.0299999999999994</c:v>
                </c:pt>
                <c:pt idx="110">
                  <c:v>7.85</c:v>
                </c:pt>
                <c:pt idx="111">
                  <c:v>7.04</c:v>
                </c:pt>
                <c:pt idx="112">
                  <c:v>7.16</c:v>
                </c:pt>
                <c:pt idx="113">
                  <c:v>6.12</c:v>
                </c:pt>
                <c:pt idx="114">
                  <c:v>3.71</c:v>
                </c:pt>
                <c:pt idx="115">
                  <c:v>4.12</c:v>
                </c:pt>
                <c:pt idx="116">
                  <c:v>6.82</c:v>
                </c:pt>
                <c:pt idx="117">
                  <c:v>8.2200000000000006</c:v>
                </c:pt>
                <c:pt idx="118">
                  <c:v>7.71</c:v>
                </c:pt>
                <c:pt idx="119">
                  <c:v>7.39</c:v>
                </c:pt>
                <c:pt idx="120">
                  <c:v>7.89</c:v>
                </c:pt>
                <c:pt idx="121">
                  <c:v>6.39</c:v>
                </c:pt>
                <c:pt idx="122">
                  <c:v>6.77</c:v>
                </c:pt>
                <c:pt idx="123">
                  <c:v>4.1100000000000003</c:v>
                </c:pt>
                <c:pt idx="124">
                  <c:v>9.58</c:v>
                </c:pt>
                <c:pt idx="125">
                  <c:v>3.41</c:v>
                </c:pt>
                <c:pt idx="126">
                  <c:v>3.39</c:v>
                </c:pt>
                <c:pt idx="127">
                  <c:v>9.58</c:v>
                </c:pt>
                <c:pt idx="128">
                  <c:v>5.09</c:v>
                </c:pt>
                <c:pt idx="129">
                  <c:v>7.85</c:v>
                </c:pt>
                <c:pt idx="130">
                  <c:v>9.7100000000000009</c:v>
                </c:pt>
                <c:pt idx="131">
                  <c:v>6.67</c:v>
                </c:pt>
                <c:pt idx="132">
                  <c:v>6.13</c:v>
                </c:pt>
                <c:pt idx="133">
                  <c:v>7.34</c:v>
                </c:pt>
                <c:pt idx="134">
                  <c:v>6.87</c:v>
                </c:pt>
                <c:pt idx="135">
                  <c:v>7.23</c:v>
                </c:pt>
                <c:pt idx="136">
                  <c:v>6.96</c:v>
                </c:pt>
                <c:pt idx="137">
                  <c:v>3.52</c:v>
                </c:pt>
                <c:pt idx="138">
                  <c:v>7.42</c:v>
                </c:pt>
                <c:pt idx="139">
                  <c:v>7.73</c:v>
                </c:pt>
                <c:pt idx="140">
                  <c:v>5.13</c:v>
                </c:pt>
                <c:pt idx="141">
                  <c:v>4.4000000000000004</c:v>
                </c:pt>
                <c:pt idx="142">
                  <c:v>3.49</c:v>
                </c:pt>
                <c:pt idx="143">
                  <c:v>3.57</c:v>
                </c:pt>
                <c:pt idx="144">
                  <c:v>6.41</c:v>
                </c:pt>
                <c:pt idx="145">
                  <c:v>6.04</c:v>
                </c:pt>
                <c:pt idx="146">
                  <c:v>9.18</c:v>
                </c:pt>
                <c:pt idx="147">
                  <c:v>8.66</c:v>
                </c:pt>
                <c:pt idx="148">
                  <c:v>3.89</c:v>
                </c:pt>
                <c:pt idx="149">
                  <c:v>6.54</c:v>
                </c:pt>
                <c:pt idx="150">
                  <c:v>5.25</c:v>
                </c:pt>
                <c:pt idx="151">
                  <c:v>7.95</c:v>
                </c:pt>
                <c:pt idx="152">
                  <c:v>6.66</c:v>
                </c:pt>
                <c:pt idx="153">
                  <c:v>5.07</c:v>
                </c:pt>
                <c:pt idx="154">
                  <c:v>7.62</c:v>
                </c:pt>
                <c:pt idx="155">
                  <c:v>7.44</c:v>
                </c:pt>
                <c:pt idx="156">
                  <c:v>4.8600000000000003</c:v>
                </c:pt>
                <c:pt idx="157">
                  <c:v>6.93</c:v>
                </c:pt>
                <c:pt idx="158">
                  <c:v>9.99</c:v>
                </c:pt>
                <c:pt idx="159">
                  <c:v>5.22</c:v>
                </c:pt>
                <c:pt idx="160">
                  <c:v>5.17</c:v>
                </c:pt>
                <c:pt idx="161">
                  <c:v>5.17</c:v>
                </c:pt>
                <c:pt idx="162">
                  <c:v>5.99</c:v>
                </c:pt>
                <c:pt idx="163">
                  <c:v>5.3</c:v>
                </c:pt>
                <c:pt idx="164">
                  <c:v>6.18</c:v>
                </c:pt>
                <c:pt idx="165">
                  <c:v>8.43</c:v>
                </c:pt>
                <c:pt idx="166">
                  <c:v>7.55</c:v>
                </c:pt>
                <c:pt idx="167">
                  <c:v>5.63</c:v>
                </c:pt>
                <c:pt idx="168">
                  <c:v>4.71</c:v>
                </c:pt>
                <c:pt idx="169">
                  <c:v>5.28</c:v>
                </c:pt>
                <c:pt idx="170">
                  <c:v>5.95</c:v>
                </c:pt>
                <c:pt idx="171">
                  <c:v>9.98</c:v>
                </c:pt>
                <c:pt idx="172">
                  <c:v>9.93</c:v>
                </c:pt>
                <c:pt idx="173">
                  <c:v>9.08</c:v>
                </c:pt>
                <c:pt idx="174">
                  <c:v>8.7100000000000009</c:v>
                </c:pt>
                <c:pt idx="175">
                  <c:v>7.98</c:v>
                </c:pt>
                <c:pt idx="176">
                  <c:v>9.6199999999999992</c:v>
                </c:pt>
                <c:pt idx="177">
                  <c:v>6.69</c:v>
                </c:pt>
                <c:pt idx="178">
                  <c:v>4.25</c:v>
                </c:pt>
                <c:pt idx="179">
                  <c:v>4.9800000000000004</c:v>
                </c:pt>
                <c:pt idx="180">
                  <c:v>4.97</c:v>
                </c:pt>
                <c:pt idx="181">
                  <c:v>3.71</c:v>
                </c:pt>
                <c:pt idx="182">
                  <c:v>7.79</c:v>
                </c:pt>
                <c:pt idx="183">
                  <c:v>8.51</c:v>
                </c:pt>
                <c:pt idx="184">
                  <c:v>4.96</c:v>
                </c:pt>
                <c:pt idx="185">
                  <c:v>8.58</c:v>
                </c:pt>
                <c:pt idx="186">
                  <c:v>5.41</c:v>
                </c:pt>
                <c:pt idx="187">
                  <c:v>8.7200000000000006</c:v>
                </c:pt>
                <c:pt idx="188">
                  <c:v>7.71</c:v>
                </c:pt>
                <c:pt idx="189">
                  <c:v>8.35</c:v>
                </c:pt>
                <c:pt idx="190">
                  <c:v>4.03</c:v>
                </c:pt>
                <c:pt idx="191">
                  <c:v>9.3699999999999992</c:v>
                </c:pt>
                <c:pt idx="192">
                  <c:v>6.52</c:v>
                </c:pt>
                <c:pt idx="193">
                  <c:v>6.07</c:v>
                </c:pt>
                <c:pt idx="194">
                  <c:v>3.08</c:v>
                </c:pt>
                <c:pt idx="195">
                  <c:v>3.65</c:v>
                </c:pt>
                <c:pt idx="196">
                  <c:v>5.34</c:v>
                </c:pt>
                <c:pt idx="197">
                  <c:v>4.18</c:v>
                </c:pt>
                <c:pt idx="198">
                  <c:v>3.91</c:v>
                </c:pt>
                <c:pt idx="199">
                  <c:v>5.12</c:v>
                </c:pt>
              </c:numCache>
            </c:numRef>
          </c:xVal>
          <c:yVal>
            <c:numRef>
              <c:f>'Engagement Summary'!$G$2:$G$201</c:f>
              <c:numCache>
                <c:formatCode>General</c:formatCode>
                <c:ptCount val="200"/>
                <c:pt idx="0">
                  <c:v>23125</c:v>
                </c:pt>
                <c:pt idx="1">
                  <c:v>22788</c:v>
                </c:pt>
                <c:pt idx="2">
                  <c:v>7810</c:v>
                </c:pt>
                <c:pt idx="3">
                  <c:v>11966</c:v>
                </c:pt>
                <c:pt idx="4">
                  <c:v>26298</c:v>
                </c:pt>
                <c:pt idx="5">
                  <c:v>22029</c:v>
                </c:pt>
                <c:pt idx="6">
                  <c:v>12391</c:v>
                </c:pt>
                <c:pt idx="7">
                  <c:v>14477</c:v>
                </c:pt>
                <c:pt idx="8">
                  <c:v>25040</c:v>
                </c:pt>
                <c:pt idx="9">
                  <c:v>22619</c:v>
                </c:pt>
                <c:pt idx="10">
                  <c:v>12399</c:v>
                </c:pt>
                <c:pt idx="11">
                  <c:v>22456</c:v>
                </c:pt>
                <c:pt idx="12">
                  <c:v>12277</c:v>
                </c:pt>
                <c:pt idx="13">
                  <c:v>19328</c:v>
                </c:pt>
                <c:pt idx="14">
                  <c:v>21107</c:v>
                </c:pt>
                <c:pt idx="15">
                  <c:v>11684</c:v>
                </c:pt>
                <c:pt idx="16">
                  <c:v>14412</c:v>
                </c:pt>
                <c:pt idx="17">
                  <c:v>15924</c:v>
                </c:pt>
                <c:pt idx="18">
                  <c:v>12390</c:v>
                </c:pt>
                <c:pt idx="19">
                  <c:v>25742</c:v>
                </c:pt>
                <c:pt idx="20">
                  <c:v>10495</c:v>
                </c:pt>
                <c:pt idx="21">
                  <c:v>24617</c:v>
                </c:pt>
                <c:pt idx="22">
                  <c:v>7797</c:v>
                </c:pt>
                <c:pt idx="23">
                  <c:v>15595</c:v>
                </c:pt>
                <c:pt idx="24">
                  <c:v>11421</c:v>
                </c:pt>
                <c:pt idx="25">
                  <c:v>9847</c:v>
                </c:pt>
                <c:pt idx="26">
                  <c:v>13644</c:v>
                </c:pt>
                <c:pt idx="27">
                  <c:v>15613</c:v>
                </c:pt>
                <c:pt idx="28">
                  <c:v>23900</c:v>
                </c:pt>
                <c:pt idx="29">
                  <c:v>5836</c:v>
                </c:pt>
                <c:pt idx="30">
                  <c:v>5624</c:v>
                </c:pt>
                <c:pt idx="31">
                  <c:v>10311</c:v>
                </c:pt>
                <c:pt idx="32">
                  <c:v>8274</c:v>
                </c:pt>
                <c:pt idx="33">
                  <c:v>18267</c:v>
                </c:pt>
                <c:pt idx="34">
                  <c:v>6031</c:v>
                </c:pt>
                <c:pt idx="35">
                  <c:v>27829</c:v>
                </c:pt>
                <c:pt idx="36">
                  <c:v>13051</c:v>
                </c:pt>
                <c:pt idx="37">
                  <c:v>26644</c:v>
                </c:pt>
                <c:pt idx="38">
                  <c:v>26624</c:v>
                </c:pt>
                <c:pt idx="39">
                  <c:v>14217</c:v>
                </c:pt>
                <c:pt idx="40">
                  <c:v>16385</c:v>
                </c:pt>
                <c:pt idx="41">
                  <c:v>24548</c:v>
                </c:pt>
                <c:pt idx="42">
                  <c:v>16875</c:v>
                </c:pt>
                <c:pt idx="43">
                  <c:v>9195</c:v>
                </c:pt>
                <c:pt idx="44">
                  <c:v>18071</c:v>
                </c:pt>
                <c:pt idx="45">
                  <c:v>20306</c:v>
                </c:pt>
                <c:pt idx="46">
                  <c:v>21134</c:v>
                </c:pt>
                <c:pt idx="47">
                  <c:v>9567</c:v>
                </c:pt>
                <c:pt idx="48">
                  <c:v>23963</c:v>
                </c:pt>
                <c:pt idx="49">
                  <c:v>10253</c:v>
                </c:pt>
                <c:pt idx="50">
                  <c:v>26872</c:v>
                </c:pt>
                <c:pt idx="51">
                  <c:v>11335</c:v>
                </c:pt>
                <c:pt idx="52">
                  <c:v>12115</c:v>
                </c:pt>
                <c:pt idx="53">
                  <c:v>24358</c:v>
                </c:pt>
                <c:pt idx="54">
                  <c:v>12181</c:v>
                </c:pt>
                <c:pt idx="55">
                  <c:v>17729</c:v>
                </c:pt>
                <c:pt idx="56">
                  <c:v>10881</c:v>
                </c:pt>
                <c:pt idx="57">
                  <c:v>18576</c:v>
                </c:pt>
                <c:pt idx="58">
                  <c:v>9383</c:v>
                </c:pt>
                <c:pt idx="59">
                  <c:v>14178</c:v>
                </c:pt>
                <c:pt idx="60">
                  <c:v>16921</c:v>
                </c:pt>
                <c:pt idx="61">
                  <c:v>14215</c:v>
                </c:pt>
                <c:pt idx="62">
                  <c:v>21254</c:v>
                </c:pt>
                <c:pt idx="63">
                  <c:v>25130</c:v>
                </c:pt>
                <c:pt idx="64">
                  <c:v>25537</c:v>
                </c:pt>
                <c:pt idx="65">
                  <c:v>24943</c:v>
                </c:pt>
                <c:pt idx="66">
                  <c:v>14563</c:v>
                </c:pt>
                <c:pt idx="67">
                  <c:v>26273</c:v>
                </c:pt>
                <c:pt idx="68">
                  <c:v>10858</c:v>
                </c:pt>
                <c:pt idx="69">
                  <c:v>25038</c:v>
                </c:pt>
                <c:pt idx="70">
                  <c:v>9092</c:v>
                </c:pt>
                <c:pt idx="71">
                  <c:v>17662</c:v>
                </c:pt>
                <c:pt idx="72">
                  <c:v>25347</c:v>
                </c:pt>
                <c:pt idx="73">
                  <c:v>8910</c:v>
                </c:pt>
                <c:pt idx="74">
                  <c:v>5924</c:v>
                </c:pt>
                <c:pt idx="75">
                  <c:v>20438</c:v>
                </c:pt>
                <c:pt idx="76">
                  <c:v>8760</c:v>
                </c:pt>
                <c:pt idx="77">
                  <c:v>6625</c:v>
                </c:pt>
                <c:pt idx="78">
                  <c:v>23329</c:v>
                </c:pt>
                <c:pt idx="79">
                  <c:v>7299</c:v>
                </c:pt>
                <c:pt idx="80">
                  <c:v>14496</c:v>
                </c:pt>
                <c:pt idx="81">
                  <c:v>25703</c:v>
                </c:pt>
                <c:pt idx="82">
                  <c:v>15108</c:v>
                </c:pt>
                <c:pt idx="83">
                  <c:v>18867</c:v>
                </c:pt>
                <c:pt idx="84">
                  <c:v>21079</c:v>
                </c:pt>
                <c:pt idx="85">
                  <c:v>12840</c:v>
                </c:pt>
                <c:pt idx="86">
                  <c:v>17574</c:v>
                </c:pt>
                <c:pt idx="87">
                  <c:v>23486</c:v>
                </c:pt>
                <c:pt idx="88">
                  <c:v>5960</c:v>
                </c:pt>
                <c:pt idx="89">
                  <c:v>13301</c:v>
                </c:pt>
                <c:pt idx="90">
                  <c:v>10563</c:v>
                </c:pt>
                <c:pt idx="91">
                  <c:v>19949</c:v>
                </c:pt>
                <c:pt idx="92">
                  <c:v>14273</c:v>
                </c:pt>
                <c:pt idx="93">
                  <c:v>9247</c:v>
                </c:pt>
                <c:pt idx="94">
                  <c:v>11972</c:v>
                </c:pt>
                <c:pt idx="95">
                  <c:v>13314</c:v>
                </c:pt>
                <c:pt idx="96">
                  <c:v>6868</c:v>
                </c:pt>
                <c:pt idx="97">
                  <c:v>6027</c:v>
                </c:pt>
                <c:pt idx="98">
                  <c:v>14749</c:v>
                </c:pt>
                <c:pt idx="99">
                  <c:v>11181</c:v>
                </c:pt>
                <c:pt idx="100">
                  <c:v>25267</c:v>
                </c:pt>
                <c:pt idx="101">
                  <c:v>5900</c:v>
                </c:pt>
                <c:pt idx="102">
                  <c:v>9592</c:v>
                </c:pt>
                <c:pt idx="103">
                  <c:v>5291</c:v>
                </c:pt>
                <c:pt idx="104">
                  <c:v>22244</c:v>
                </c:pt>
                <c:pt idx="105">
                  <c:v>6824</c:v>
                </c:pt>
                <c:pt idx="106">
                  <c:v>24112</c:v>
                </c:pt>
                <c:pt idx="107">
                  <c:v>25478</c:v>
                </c:pt>
                <c:pt idx="108">
                  <c:v>11235</c:v>
                </c:pt>
                <c:pt idx="109">
                  <c:v>6120</c:v>
                </c:pt>
                <c:pt idx="110">
                  <c:v>20572</c:v>
                </c:pt>
                <c:pt idx="111">
                  <c:v>6532</c:v>
                </c:pt>
                <c:pt idx="112">
                  <c:v>22234</c:v>
                </c:pt>
                <c:pt idx="113">
                  <c:v>14975</c:v>
                </c:pt>
                <c:pt idx="114">
                  <c:v>24858</c:v>
                </c:pt>
                <c:pt idx="115">
                  <c:v>13883</c:v>
                </c:pt>
                <c:pt idx="116">
                  <c:v>18654</c:v>
                </c:pt>
                <c:pt idx="117">
                  <c:v>25234</c:v>
                </c:pt>
                <c:pt idx="118">
                  <c:v>6772</c:v>
                </c:pt>
                <c:pt idx="119">
                  <c:v>22428</c:v>
                </c:pt>
                <c:pt idx="120">
                  <c:v>11911</c:v>
                </c:pt>
                <c:pt idx="121">
                  <c:v>21900</c:v>
                </c:pt>
                <c:pt idx="122">
                  <c:v>25542</c:v>
                </c:pt>
                <c:pt idx="123">
                  <c:v>20474</c:v>
                </c:pt>
                <c:pt idx="124">
                  <c:v>8698</c:v>
                </c:pt>
                <c:pt idx="125">
                  <c:v>7140</c:v>
                </c:pt>
                <c:pt idx="126">
                  <c:v>10402</c:v>
                </c:pt>
                <c:pt idx="127">
                  <c:v>26618</c:v>
                </c:pt>
                <c:pt idx="128">
                  <c:v>7975</c:v>
                </c:pt>
                <c:pt idx="129">
                  <c:v>19054</c:v>
                </c:pt>
                <c:pt idx="130">
                  <c:v>13740</c:v>
                </c:pt>
                <c:pt idx="131">
                  <c:v>18442</c:v>
                </c:pt>
                <c:pt idx="132">
                  <c:v>10104</c:v>
                </c:pt>
                <c:pt idx="133">
                  <c:v>21771</c:v>
                </c:pt>
                <c:pt idx="134">
                  <c:v>22191</c:v>
                </c:pt>
                <c:pt idx="135">
                  <c:v>27393</c:v>
                </c:pt>
                <c:pt idx="136">
                  <c:v>23736</c:v>
                </c:pt>
                <c:pt idx="137">
                  <c:v>27753</c:v>
                </c:pt>
                <c:pt idx="138">
                  <c:v>10343</c:v>
                </c:pt>
                <c:pt idx="139">
                  <c:v>25259</c:v>
                </c:pt>
                <c:pt idx="140">
                  <c:v>24827</c:v>
                </c:pt>
                <c:pt idx="141">
                  <c:v>11908</c:v>
                </c:pt>
                <c:pt idx="142">
                  <c:v>11005</c:v>
                </c:pt>
                <c:pt idx="143">
                  <c:v>26333</c:v>
                </c:pt>
                <c:pt idx="144">
                  <c:v>5495</c:v>
                </c:pt>
                <c:pt idx="145">
                  <c:v>15655</c:v>
                </c:pt>
                <c:pt idx="146">
                  <c:v>13763</c:v>
                </c:pt>
                <c:pt idx="147">
                  <c:v>12774</c:v>
                </c:pt>
                <c:pt idx="148">
                  <c:v>19000</c:v>
                </c:pt>
                <c:pt idx="149">
                  <c:v>26073</c:v>
                </c:pt>
                <c:pt idx="150">
                  <c:v>7859</c:v>
                </c:pt>
                <c:pt idx="151">
                  <c:v>14051</c:v>
                </c:pt>
                <c:pt idx="152">
                  <c:v>27782</c:v>
                </c:pt>
                <c:pt idx="153">
                  <c:v>15773</c:v>
                </c:pt>
                <c:pt idx="154">
                  <c:v>20595</c:v>
                </c:pt>
                <c:pt idx="155">
                  <c:v>12031</c:v>
                </c:pt>
                <c:pt idx="156">
                  <c:v>15128</c:v>
                </c:pt>
                <c:pt idx="157">
                  <c:v>11826</c:v>
                </c:pt>
                <c:pt idx="158">
                  <c:v>12562</c:v>
                </c:pt>
                <c:pt idx="159">
                  <c:v>13013</c:v>
                </c:pt>
                <c:pt idx="160">
                  <c:v>12937</c:v>
                </c:pt>
                <c:pt idx="161">
                  <c:v>14534</c:v>
                </c:pt>
                <c:pt idx="162">
                  <c:v>20109</c:v>
                </c:pt>
                <c:pt idx="163">
                  <c:v>10615</c:v>
                </c:pt>
                <c:pt idx="164">
                  <c:v>8182</c:v>
                </c:pt>
                <c:pt idx="165">
                  <c:v>26024</c:v>
                </c:pt>
                <c:pt idx="166">
                  <c:v>26730</c:v>
                </c:pt>
                <c:pt idx="167">
                  <c:v>10563</c:v>
                </c:pt>
                <c:pt idx="168">
                  <c:v>27575</c:v>
                </c:pt>
                <c:pt idx="169">
                  <c:v>14479</c:v>
                </c:pt>
                <c:pt idx="170">
                  <c:v>15915</c:v>
                </c:pt>
                <c:pt idx="171">
                  <c:v>12767</c:v>
                </c:pt>
                <c:pt idx="172">
                  <c:v>12170</c:v>
                </c:pt>
                <c:pt idx="173">
                  <c:v>7245</c:v>
                </c:pt>
                <c:pt idx="174">
                  <c:v>11453</c:v>
                </c:pt>
                <c:pt idx="175">
                  <c:v>12985</c:v>
                </c:pt>
                <c:pt idx="176">
                  <c:v>16377</c:v>
                </c:pt>
                <c:pt idx="177">
                  <c:v>12323</c:v>
                </c:pt>
                <c:pt idx="178">
                  <c:v>11911</c:v>
                </c:pt>
                <c:pt idx="179">
                  <c:v>27809</c:v>
                </c:pt>
                <c:pt idx="180">
                  <c:v>21464</c:v>
                </c:pt>
                <c:pt idx="181">
                  <c:v>27126</c:v>
                </c:pt>
                <c:pt idx="182">
                  <c:v>10681</c:v>
                </c:pt>
                <c:pt idx="183">
                  <c:v>18303</c:v>
                </c:pt>
                <c:pt idx="184">
                  <c:v>5413</c:v>
                </c:pt>
                <c:pt idx="185">
                  <c:v>25058</c:v>
                </c:pt>
                <c:pt idx="186">
                  <c:v>5526</c:v>
                </c:pt>
                <c:pt idx="187">
                  <c:v>17460</c:v>
                </c:pt>
                <c:pt idx="188">
                  <c:v>14475</c:v>
                </c:pt>
                <c:pt idx="189">
                  <c:v>20162</c:v>
                </c:pt>
                <c:pt idx="190">
                  <c:v>17103</c:v>
                </c:pt>
                <c:pt idx="191">
                  <c:v>15461</c:v>
                </c:pt>
                <c:pt idx="192">
                  <c:v>11625</c:v>
                </c:pt>
                <c:pt idx="193">
                  <c:v>22103</c:v>
                </c:pt>
                <c:pt idx="194">
                  <c:v>5281</c:v>
                </c:pt>
                <c:pt idx="195">
                  <c:v>13140</c:v>
                </c:pt>
                <c:pt idx="196">
                  <c:v>13424</c:v>
                </c:pt>
                <c:pt idx="197">
                  <c:v>19538</c:v>
                </c:pt>
                <c:pt idx="198">
                  <c:v>7881</c:v>
                </c:pt>
                <c:pt idx="199">
                  <c:v>11418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D7-42FB-8AB2-D3FCC6C4B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53408"/>
        <c:axId val="227350528"/>
      </c:scatterChart>
      <c:valAx>
        <c:axId val="22735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>
                      <a:solidFill>
                        <a:schemeClr val="tx1"/>
                      </a:solidFill>
                    </a:ln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Engagement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>
                    <a:solidFill>
                      <a:schemeClr val="tx1"/>
                    </a:solidFill>
                  </a:ln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>
                  <a:solidFill>
                    <a:schemeClr val="tx1"/>
                  </a:solidFill>
                </a:ln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50528"/>
        <c:crosses val="autoZero"/>
        <c:crossBetween val="midCat"/>
      </c:valAx>
      <c:valAx>
        <c:axId val="22735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>
                      <a:solidFill>
                        <a:schemeClr val="tx1"/>
                      </a:solidFill>
                    </a:ln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Ad Spend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>
                    <a:solidFill>
                      <a:schemeClr val="tx1"/>
                    </a:solidFill>
                  </a:ln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>
                  <a:solidFill>
                    <a:schemeClr val="tx1"/>
                  </a:solidFill>
                </a:ln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353408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25000"/>
        <a:lumOff val="75000"/>
      </a:schemeClr>
    </a:solidFill>
    <a:ln w="12700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>
            <a:solidFill>
              <a:schemeClr val="tx1"/>
            </a:solidFill>
          </a:ln>
          <a:solidFill>
            <a:schemeClr val="tx1"/>
          </a:solidFill>
          <a:effectLst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Follower Trend Chart</a:t>
            </a:r>
          </a:p>
        </c:rich>
      </c:tx>
      <c:overlay val="0"/>
      <c:spPr>
        <a:ln w="12700">
          <a:solidFill>
            <a:schemeClr val="tx1"/>
          </a:solidFill>
        </a:ln>
      </c:spPr>
    </c:title>
    <c:autoTitleDeleted val="0"/>
    <c:plotArea>
      <c:layout>
        <c:manualLayout>
          <c:layoutTarget val="inner"/>
          <c:xMode val="edge"/>
          <c:yMode val="edge"/>
          <c:x val="5.0079839496502729E-2"/>
          <c:y val="0.10113922828366402"/>
          <c:w val="0.86130369829425768"/>
          <c:h val="0.72095540970295691"/>
        </c:manualLayout>
      </c:layout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'Engagement Summary'!$H$3:$H$201</c:f>
              <c:numCache>
                <c:formatCode>General</c:formatCode>
                <c:ptCount val="199"/>
                <c:pt idx="0">
                  <c:v>909</c:v>
                </c:pt>
                <c:pt idx="1">
                  <c:v>1176</c:v>
                </c:pt>
                <c:pt idx="2">
                  <c:v>928</c:v>
                </c:pt>
                <c:pt idx="3">
                  <c:v>1397</c:v>
                </c:pt>
                <c:pt idx="4">
                  <c:v>452</c:v>
                </c:pt>
                <c:pt idx="5">
                  <c:v>590</c:v>
                </c:pt>
                <c:pt idx="6">
                  <c:v>1283</c:v>
                </c:pt>
                <c:pt idx="7">
                  <c:v>1302</c:v>
                </c:pt>
                <c:pt idx="8">
                  <c:v>612</c:v>
                </c:pt>
                <c:pt idx="9">
                  <c:v>1121</c:v>
                </c:pt>
                <c:pt idx="10">
                  <c:v>700</c:v>
                </c:pt>
                <c:pt idx="11">
                  <c:v>1117</c:v>
                </c:pt>
                <c:pt idx="12">
                  <c:v>714</c:v>
                </c:pt>
                <c:pt idx="13">
                  <c:v>595</c:v>
                </c:pt>
                <c:pt idx="14">
                  <c:v>667</c:v>
                </c:pt>
                <c:pt idx="15">
                  <c:v>1371</c:v>
                </c:pt>
                <c:pt idx="16">
                  <c:v>1117</c:v>
                </c:pt>
                <c:pt idx="17">
                  <c:v>359</c:v>
                </c:pt>
                <c:pt idx="18">
                  <c:v>1098</c:v>
                </c:pt>
                <c:pt idx="19">
                  <c:v>912</c:v>
                </c:pt>
                <c:pt idx="20">
                  <c:v>1125</c:v>
                </c:pt>
                <c:pt idx="21">
                  <c:v>792</c:v>
                </c:pt>
                <c:pt idx="22">
                  <c:v>364</c:v>
                </c:pt>
                <c:pt idx="23">
                  <c:v>849</c:v>
                </c:pt>
                <c:pt idx="24">
                  <c:v>869</c:v>
                </c:pt>
                <c:pt idx="25">
                  <c:v>414</c:v>
                </c:pt>
                <c:pt idx="26">
                  <c:v>1353</c:v>
                </c:pt>
                <c:pt idx="27">
                  <c:v>582</c:v>
                </c:pt>
                <c:pt idx="28">
                  <c:v>758</c:v>
                </c:pt>
                <c:pt idx="29">
                  <c:v>977</c:v>
                </c:pt>
                <c:pt idx="30">
                  <c:v>1191</c:v>
                </c:pt>
                <c:pt idx="31">
                  <c:v>904</c:v>
                </c:pt>
                <c:pt idx="32">
                  <c:v>1009</c:v>
                </c:pt>
                <c:pt idx="33">
                  <c:v>909</c:v>
                </c:pt>
                <c:pt idx="34">
                  <c:v>382</c:v>
                </c:pt>
                <c:pt idx="35">
                  <c:v>1166</c:v>
                </c:pt>
                <c:pt idx="36">
                  <c:v>262</c:v>
                </c:pt>
                <c:pt idx="37">
                  <c:v>1022</c:v>
                </c:pt>
                <c:pt idx="38">
                  <c:v>515</c:v>
                </c:pt>
                <c:pt idx="39">
                  <c:v>956</c:v>
                </c:pt>
                <c:pt idx="40">
                  <c:v>1031</c:v>
                </c:pt>
                <c:pt idx="41">
                  <c:v>725</c:v>
                </c:pt>
                <c:pt idx="42">
                  <c:v>637</c:v>
                </c:pt>
                <c:pt idx="43">
                  <c:v>1268</c:v>
                </c:pt>
                <c:pt idx="44">
                  <c:v>1291</c:v>
                </c:pt>
                <c:pt idx="45">
                  <c:v>400</c:v>
                </c:pt>
                <c:pt idx="46">
                  <c:v>471</c:v>
                </c:pt>
                <c:pt idx="47">
                  <c:v>474</c:v>
                </c:pt>
                <c:pt idx="48">
                  <c:v>1198</c:v>
                </c:pt>
                <c:pt idx="49">
                  <c:v>1113</c:v>
                </c:pt>
                <c:pt idx="50">
                  <c:v>1132</c:v>
                </c:pt>
                <c:pt idx="51">
                  <c:v>844</c:v>
                </c:pt>
                <c:pt idx="52">
                  <c:v>1175</c:v>
                </c:pt>
                <c:pt idx="53">
                  <c:v>559</c:v>
                </c:pt>
                <c:pt idx="54">
                  <c:v>554</c:v>
                </c:pt>
                <c:pt idx="55">
                  <c:v>1225</c:v>
                </c:pt>
                <c:pt idx="56">
                  <c:v>892</c:v>
                </c:pt>
                <c:pt idx="57">
                  <c:v>536</c:v>
                </c:pt>
                <c:pt idx="58">
                  <c:v>1242</c:v>
                </c:pt>
                <c:pt idx="59">
                  <c:v>1082</c:v>
                </c:pt>
                <c:pt idx="60">
                  <c:v>762</c:v>
                </c:pt>
                <c:pt idx="61">
                  <c:v>948</c:v>
                </c:pt>
                <c:pt idx="62">
                  <c:v>1174</c:v>
                </c:pt>
                <c:pt idx="63">
                  <c:v>464</c:v>
                </c:pt>
                <c:pt idx="64">
                  <c:v>543</c:v>
                </c:pt>
                <c:pt idx="65">
                  <c:v>1202</c:v>
                </c:pt>
                <c:pt idx="66">
                  <c:v>1390</c:v>
                </c:pt>
                <c:pt idx="67">
                  <c:v>984</c:v>
                </c:pt>
                <c:pt idx="68">
                  <c:v>1204</c:v>
                </c:pt>
                <c:pt idx="69">
                  <c:v>532</c:v>
                </c:pt>
                <c:pt idx="70">
                  <c:v>1058</c:v>
                </c:pt>
                <c:pt idx="71">
                  <c:v>577</c:v>
                </c:pt>
                <c:pt idx="72">
                  <c:v>682</c:v>
                </c:pt>
                <c:pt idx="73">
                  <c:v>676</c:v>
                </c:pt>
                <c:pt idx="74">
                  <c:v>450</c:v>
                </c:pt>
                <c:pt idx="75">
                  <c:v>683</c:v>
                </c:pt>
                <c:pt idx="76">
                  <c:v>1154</c:v>
                </c:pt>
                <c:pt idx="77">
                  <c:v>808</c:v>
                </c:pt>
                <c:pt idx="78">
                  <c:v>871</c:v>
                </c:pt>
                <c:pt idx="79">
                  <c:v>704</c:v>
                </c:pt>
                <c:pt idx="80">
                  <c:v>611</c:v>
                </c:pt>
                <c:pt idx="81">
                  <c:v>405</c:v>
                </c:pt>
                <c:pt idx="82">
                  <c:v>382</c:v>
                </c:pt>
                <c:pt idx="83">
                  <c:v>1099</c:v>
                </c:pt>
                <c:pt idx="84">
                  <c:v>477</c:v>
                </c:pt>
                <c:pt idx="85">
                  <c:v>1117</c:v>
                </c:pt>
                <c:pt idx="86">
                  <c:v>567</c:v>
                </c:pt>
                <c:pt idx="87">
                  <c:v>1133</c:v>
                </c:pt>
                <c:pt idx="88">
                  <c:v>850</c:v>
                </c:pt>
                <c:pt idx="89">
                  <c:v>413</c:v>
                </c:pt>
                <c:pt idx="90">
                  <c:v>1387</c:v>
                </c:pt>
                <c:pt idx="91">
                  <c:v>537</c:v>
                </c:pt>
                <c:pt idx="92">
                  <c:v>443</c:v>
                </c:pt>
                <c:pt idx="93">
                  <c:v>1283</c:v>
                </c:pt>
                <c:pt idx="94">
                  <c:v>725</c:v>
                </c:pt>
                <c:pt idx="95">
                  <c:v>1354</c:v>
                </c:pt>
                <c:pt idx="96">
                  <c:v>520</c:v>
                </c:pt>
                <c:pt idx="97">
                  <c:v>467</c:v>
                </c:pt>
                <c:pt idx="98">
                  <c:v>844</c:v>
                </c:pt>
                <c:pt idx="99">
                  <c:v>442</c:v>
                </c:pt>
                <c:pt idx="100">
                  <c:v>546</c:v>
                </c:pt>
                <c:pt idx="101">
                  <c:v>341</c:v>
                </c:pt>
                <c:pt idx="102">
                  <c:v>869</c:v>
                </c:pt>
                <c:pt idx="103">
                  <c:v>718</c:v>
                </c:pt>
                <c:pt idx="104">
                  <c:v>735</c:v>
                </c:pt>
                <c:pt idx="105">
                  <c:v>523</c:v>
                </c:pt>
                <c:pt idx="106">
                  <c:v>422</c:v>
                </c:pt>
                <c:pt idx="107">
                  <c:v>915</c:v>
                </c:pt>
                <c:pt idx="108">
                  <c:v>1108</c:v>
                </c:pt>
                <c:pt idx="109">
                  <c:v>338</c:v>
                </c:pt>
                <c:pt idx="110">
                  <c:v>356</c:v>
                </c:pt>
                <c:pt idx="111">
                  <c:v>463</c:v>
                </c:pt>
                <c:pt idx="112">
                  <c:v>724</c:v>
                </c:pt>
                <c:pt idx="113">
                  <c:v>378</c:v>
                </c:pt>
                <c:pt idx="114">
                  <c:v>636</c:v>
                </c:pt>
                <c:pt idx="115">
                  <c:v>699</c:v>
                </c:pt>
                <c:pt idx="116">
                  <c:v>1279</c:v>
                </c:pt>
                <c:pt idx="117">
                  <c:v>1006</c:v>
                </c:pt>
                <c:pt idx="118">
                  <c:v>478</c:v>
                </c:pt>
                <c:pt idx="119">
                  <c:v>545</c:v>
                </c:pt>
                <c:pt idx="120">
                  <c:v>1005</c:v>
                </c:pt>
                <c:pt idx="121">
                  <c:v>765</c:v>
                </c:pt>
                <c:pt idx="122">
                  <c:v>496</c:v>
                </c:pt>
                <c:pt idx="123">
                  <c:v>1128</c:v>
                </c:pt>
                <c:pt idx="124">
                  <c:v>564</c:v>
                </c:pt>
                <c:pt idx="125">
                  <c:v>565</c:v>
                </c:pt>
                <c:pt idx="126">
                  <c:v>813</c:v>
                </c:pt>
                <c:pt idx="127">
                  <c:v>1301</c:v>
                </c:pt>
                <c:pt idx="128">
                  <c:v>436</c:v>
                </c:pt>
                <c:pt idx="129">
                  <c:v>978</c:v>
                </c:pt>
                <c:pt idx="130">
                  <c:v>1367</c:v>
                </c:pt>
                <c:pt idx="131">
                  <c:v>1337</c:v>
                </c:pt>
                <c:pt idx="132">
                  <c:v>1014</c:v>
                </c:pt>
                <c:pt idx="133">
                  <c:v>940</c:v>
                </c:pt>
                <c:pt idx="134">
                  <c:v>1191</c:v>
                </c:pt>
                <c:pt idx="135">
                  <c:v>1335</c:v>
                </c:pt>
                <c:pt idx="136">
                  <c:v>690</c:v>
                </c:pt>
                <c:pt idx="137">
                  <c:v>353</c:v>
                </c:pt>
                <c:pt idx="138">
                  <c:v>486</c:v>
                </c:pt>
                <c:pt idx="139">
                  <c:v>889</c:v>
                </c:pt>
                <c:pt idx="140">
                  <c:v>983</c:v>
                </c:pt>
                <c:pt idx="141">
                  <c:v>581</c:v>
                </c:pt>
                <c:pt idx="142">
                  <c:v>814</c:v>
                </c:pt>
                <c:pt idx="143">
                  <c:v>919</c:v>
                </c:pt>
                <c:pt idx="144">
                  <c:v>676</c:v>
                </c:pt>
                <c:pt idx="145">
                  <c:v>459</c:v>
                </c:pt>
                <c:pt idx="146">
                  <c:v>447</c:v>
                </c:pt>
                <c:pt idx="147">
                  <c:v>377</c:v>
                </c:pt>
                <c:pt idx="148">
                  <c:v>576</c:v>
                </c:pt>
                <c:pt idx="149">
                  <c:v>1281</c:v>
                </c:pt>
                <c:pt idx="150">
                  <c:v>932</c:v>
                </c:pt>
                <c:pt idx="151">
                  <c:v>1356</c:v>
                </c:pt>
                <c:pt idx="152">
                  <c:v>1041</c:v>
                </c:pt>
                <c:pt idx="153">
                  <c:v>1184</c:v>
                </c:pt>
                <c:pt idx="154">
                  <c:v>684</c:v>
                </c:pt>
                <c:pt idx="155">
                  <c:v>354</c:v>
                </c:pt>
                <c:pt idx="156">
                  <c:v>1126</c:v>
                </c:pt>
                <c:pt idx="157">
                  <c:v>569</c:v>
                </c:pt>
                <c:pt idx="158">
                  <c:v>730</c:v>
                </c:pt>
                <c:pt idx="159">
                  <c:v>578</c:v>
                </c:pt>
                <c:pt idx="160">
                  <c:v>935</c:v>
                </c:pt>
                <c:pt idx="161">
                  <c:v>994</c:v>
                </c:pt>
                <c:pt idx="162">
                  <c:v>325</c:v>
                </c:pt>
                <c:pt idx="163">
                  <c:v>698</c:v>
                </c:pt>
                <c:pt idx="164">
                  <c:v>320</c:v>
                </c:pt>
                <c:pt idx="165">
                  <c:v>544</c:v>
                </c:pt>
                <c:pt idx="166">
                  <c:v>520</c:v>
                </c:pt>
                <c:pt idx="167">
                  <c:v>485</c:v>
                </c:pt>
                <c:pt idx="168">
                  <c:v>1234</c:v>
                </c:pt>
                <c:pt idx="169">
                  <c:v>596</c:v>
                </c:pt>
                <c:pt idx="170">
                  <c:v>831</c:v>
                </c:pt>
                <c:pt idx="171">
                  <c:v>1033</c:v>
                </c:pt>
                <c:pt idx="172">
                  <c:v>805</c:v>
                </c:pt>
                <c:pt idx="173">
                  <c:v>952</c:v>
                </c:pt>
                <c:pt idx="174">
                  <c:v>1274</c:v>
                </c:pt>
                <c:pt idx="175">
                  <c:v>428</c:v>
                </c:pt>
                <c:pt idx="176">
                  <c:v>951</c:v>
                </c:pt>
                <c:pt idx="177">
                  <c:v>604</c:v>
                </c:pt>
                <c:pt idx="178">
                  <c:v>1139</c:v>
                </c:pt>
                <c:pt idx="179">
                  <c:v>567</c:v>
                </c:pt>
                <c:pt idx="180">
                  <c:v>1282</c:v>
                </c:pt>
                <c:pt idx="181">
                  <c:v>1387</c:v>
                </c:pt>
                <c:pt idx="182">
                  <c:v>523</c:v>
                </c:pt>
                <c:pt idx="183">
                  <c:v>667</c:v>
                </c:pt>
                <c:pt idx="184">
                  <c:v>499</c:v>
                </c:pt>
                <c:pt idx="185">
                  <c:v>896</c:v>
                </c:pt>
                <c:pt idx="186">
                  <c:v>702</c:v>
                </c:pt>
                <c:pt idx="187">
                  <c:v>749</c:v>
                </c:pt>
                <c:pt idx="188">
                  <c:v>333</c:v>
                </c:pt>
                <c:pt idx="189">
                  <c:v>647</c:v>
                </c:pt>
                <c:pt idx="190">
                  <c:v>839</c:v>
                </c:pt>
                <c:pt idx="191">
                  <c:v>1168</c:v>
                </c:pt>
                <c:pt idx="192">
                  <c:v>960</c:v>
                </c:pt>
                <c:pt idx="193">
                  <c:v>518</c:v>
                </c:pt>
                <c:pt idx="194">
                  <c:v>302</c:v>
                </c:pt>
                <c:pt idx="195">
                  <c:v>872</c:v>
                </c:pt>
                <c:pt idx="196">
                  <c:v>250</c:v>
                </c:pt>
                <c:pt idx="197">
                  <c:v>820</c:v>
                </c:pt>
                <c:pt idx="198">
                  <c:v>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7F-4CEE-BDD8-2BD5A21C2E3D}"/>
            </c:ext>
          </c:extLst>
        </c:ser>
        <c:ser>
          <c:idx val="1"/>
          <c:order val="1"/>
          <c:tx>
            <c:v>Forecast</c:v>
          </c:tx>
          <c:trendline>
            <c:trendlineType val="linear"/>
            <c:dispRSqr val="0"/>
            <c:dispEq val="0"/>
          </c:trendline>
          <c:val>
            <c:numRef>
              <c:f>'Engagement Summary'!$I$2:$I$200</c:f>
              <c:numCache>
                <c:formatCode>General</c:formatCode>
                <c:ptCount val="199"/>
                <c:pt idx="0">
                  <c:v>#N/A</c:v>
                </c:pt>
                <c:pt idx="1">
                  <c:v>1042.5</c:v>
                </c:pt>
                <c:pt idx="2">
                  <c:v>1052</c:v>
                </c:pt>
                <c:pt idx="3">
                  <c:v>1162.5</c:v>
                </c:pt>
                <c:pt idx="4">
                  <c:v>924.5</c:v>
                </c:pt>
                <c:pt idx="5">
                  <c:v>521</c:v>
                </c:pt>
                <c:pt idx="6">
                  <c:v>936.5</c:v>
                </c:pt>
                <c:pt idx="7">
                  <c:v>1292.5</c:v>
                </c:pt>
                <c:pt idx="8">
                  <c:v>957</c:v>
                </c:pt>
                <c:pt idx="9">
                  <c:v>866.5</c:v>
                </c:pt>
                <c:pt idx="10">
                  <c:v>910.5</c:v>
                </c:pt>
                <c:pt idx="11">
                  <c:v>908.5</c:v>
                </c:pt>
                <c:pt idx="12">
                  <c:v>915.5</c:v>
                </c:pt>
                <c:pt idx="13">
                  <c:v>654.5</c:v>
                </c:pt>
                <c:pt idx="14">
                  <c:v>631</c:v>
                </c:pt>
                <c:pt idx="15">
                  <c:v>1019</c:v>
                </c:pt>
                <c:pt idx="16">
                  <c:v>1244</c:v>
                </c:pt>
                <c:pt idx="17">
                  <c:v>738</c:v>
                </c:pt>
                <c:pt idx="18">
                  <c:v>728.5</c:v>
                </c:pt>
                <c:pt idx="19">
                  <c:v>1005</c:v>
                </c:pt>
                <c:pt idx="20">
                  <c:v>1018.5</c:v>
                </c:pt>
                <c:pt idx="21">
                  <c:v>958.5</c:v>
                </c:pt>
                <c:pt idx="22">
                  <c:v>578</c:v>
                </c:pt>
                <c:pt idx="23">
                  <c:v>606.5</c:v>
                </c:pt>
                <c:pt idx="24">
                  <c:v>859</c:v>
                </c:pt>
                <c:pt idx="25">
                  <c:v>641.5</c:v>
                </c:pt>
                <c:pt idx="26">
                  <c:v>883.5</c:v>
                </c:pt>
                <c:pt idx="27">
                  <c:v>967.5</c:v>
                </c:pt>
                <c:pt idx="28">
                  <c:v>670</c:v>
                </c:pt>
                <c:pt idx="29">
                  <c:v>867.5</c:v>
                </c:pt>
                <c:pt idx="30">
                  <c:v>1084</c:v>
                </c:pt>
                <c:pt idx="31">
                  <c:v>1047.5</c:v>
                </c:pt>
                <c:pt idx="32">
                  <c:v>956.5</c:v>
                </c:pt>
                <c:pt idx="33">
                  <c:v>959</c:v>
                </c:pt>
                <c:pt idx="34">
                  <c:v>645.5</c:v>
                </c:pt>
                <c:pt idx="35">
                  <c:v>774</c:v>
                </c:pt>
                <c:pt idx="36">
                  <c:v>714</c:v>
                </c:pt>
                <c:pt idx="37">
                  <c:v>642</c:v>
                </c:pt>
                <c:pt idx="38">
                  <c:v>768.5</c:v>
                </c:pt>
                <c:pt idx="39">
                  <c:v>735.5</c:v>
                </c:pt>
                <c:pt idx="40">
                  <c:v>993.5</c:v>
                </c:pt>
                <c:pt idx="41">
                  <c:v>878</c:v>
                </c:pt>
                <c:pt idx="42">
                  <c:v>681</c:v>
                </c:pt>
                <c:pt idx="43">
                  <c:v>952.5</c:v>
                </c:pt>
                <c:pt idx="44">
                  <c:v>1279.5</c:v>
                </c:pt>
                <c:pt idx="45">
                  <c:v>845.5</c:v>
                </c:pt>
                <c:pt idx="46">
                  <c:v>435.5</c:v>
                </c:pt>
                <c:pt idx="47">
                  <c:v>472.5</c:v>
                </c:pt>
                <c:pt idx="48">
                  <c:v>836</c:v>
                </c:pt>
                <c:pt idx="49">
                  <c:v>1155.5</c:v>
                </c:pt>
                <c:pt idx="50">
                  <c:v>1122.5</c:v>
                </c:pt>
                <c:pt idx="51">
                  <c:v>988</c:v>
                </c:pt>
                <c:pt idx="52">
                  <c:v>1009.5</c:v>
                </c:pt>
                <c:pt idx="53">
                  <c:v>867</c:v>
                </c:pt>
                <c:pt idx="54">
                  <c:v>556.5</c:v>
                </c:pt>
                <c:pt idx="55">
                  <c:v>889.5</c:v>
                </c:pt>
                <c:pt idx="56">
                  <c:v>1058.5</c:v>
                </c:pt>
                <c:pt idx="57">
                  <c:v>714</c:v>
                </c:pt>
                <c:pt idx="58">
                  <c:v>889</c:v>
                </c:pt>
                <c:pt idx="59">
                  <c:v>1162</c:v>
                </c:pt>
                <c:pt idx="60">
                  <c:v>922</c:v>
                </c:pt>
                <c:pt idx="61">
                  <c:v>855</c:v>
                </c:pt>
                <c:pt idx="62">
                  <c:v>1061</c:v>
                </c:pt>
                <c:pt idx="63">
                  <c:v>819</c:v>
                </c:pt>
                <c:pt idx="64">
                  <c:v>503.5</c:v>
                </c:pt>
                <c:pt idx="65">
                  <c:v>872.5</c:v>
                </c:pt>
                <c:pt idx="66">
                  <c:v>1296</c:v>
                </c:pt>
                <c:pt idx="67">
                  <c:v>1187</c:v>
                </c:pt>
                <c:pt idx="68">
                  <c:v>1094</c:v>
                </c:pt>
                <c:pt idx="69">
                  <c:v>868</c:v>
                </c:pt>
                <c:pt idx="70">
                  <c:v>795</c:v>
                </c:pt>
                <c:pt idx="71">
                  <c:v>817.5</c:v>
                </c:pt>
                <c:pt idx="72">
                  <c:v>629.5</c:v>
                </c:pt>
                <c:pt idx="73">
                  <c:v>679</c:v>
                </c:pt>
                <c:pt idx="74">
                  <c:v>563</c:v>
                </c:pt>
                <c:pt idx="75">
                  <c:v>566.5</c:v>
                </c:pt>
                <c:pt idx="76">
                  <c:v>918.5</c:v>
                </c:pt>
                <c:pt idx="77">
                  <c:v>981</c:v>
                </c:pt>
                <c:pt idx="78">
                  <c:v>839.5</c:v>
                </c:pt>
                <c:pt idx="79">
                  <c:v>787.5</c:v>
                </c:pt>
                <c:pt idx="80">
                  <c:v>657.5</c:v>
                </c:pt>
                <c:pt idx="81">
                  <c:v>508</c:v>
                </c:pt>
                <c:pt idx="82">
                  <c:v>393.5</c:v>
                </c:pt>
                <c:pt idx="83">
                  <c:v>740.5</c:v>
                </c:pt>
                <c:pt idx="84">
                  <c:v>788</c:v>
                </c:pt>
                <c:pt idx="85">
                  <c:v>797</c:v>
                </c:pt>
                <c:pt idx="86">
                  <c:v>842</c:v>
                </c:pt>
                <c:pt idx="87">
                  <c:v>850</c:v>
                </c:pt>
                <c:pt idx="88">
                  <c:v>991.5</c:v>
                </c:pt>
                <c:pt idx="89">
                  <c:v>631.5</c:v>
                </c:pt>
                <c:pt idx="90">
                  <c:v>900</c:v>
                </c:pt>
                <c:pt idx="91">
                  <c:v>962</c:v>
                </c:pt>
                <c:pt idx="92">
                  <c:v>490</c:v>
                </c:pt>
                <c:pt idx="93">
                  <c:v>863</c:v>
                </c:pt>
                <c:pt idx="94">
                  <c:v>1004</c:v>
                </c:pt>
                <c:pt idx="95">
                  <c:v>1039.5</c:v>
                </c:pt>
                <c:pt idx="96">
                  <c:v>937</c:v>
                </c:pt>
                <c:pt idx="97">
                  <c:v>493.5</c:v>
                </c:pt>
                <c:pt idx="98">
                  <c:v>655.5</c:v>
                </c:pt>
                <c:pt idx="99">
                  <c:v>643</c:v>
                </c:pt>
                <c:pt idx="100">
                  <c:v>494</c:v>
                </c:pt>
                <c:pt idx="101">
                  <c:v>443.5</c:v>
                </c:pt>
                <c:pt idx="102">
                  <c:v>605</c:v>
                </c:pt>
                <c:pt idx="103">
                  <c:v>793.5</c:v>
                </c:pt>
                <c:pt idx="104">
                  <c:v>726.5</c:v>
                </c:pt>
                <c:pt idx="105">
                  <c:v>629</c:v>
                </c:pt>
                <c:pt idx="106">
                  <c:v>472.5</c:v>
                </c:pt>
                <c:pt idx="107">
                  <c:v>668.5</c:v>
                </c:pt>
                <c:pt idx="108">
                  <c:v>1011.5</c:v>
                </c:pt>
                <c:pt idx="109">
                  <c:v>723</c:v>
                </c:pt>
                <c:pt idx="110">
                  <c:v>347</c:v>
                </c:pt>
                <c:pt idx="111">
                  <c:v>409.5</c:v>
                </c:pt>
                <c:pt idx="112">
                  <c:v>593.5</c:v>
                </c:pt>
                <c:pt idx="113">
                  <c:v>551</c:v>
                </c:pt>
                <c:pt idx="114">
                  <c:v>507</c:v>
                </c:pt>
                <c:pt idx="115">
                  <c:v>667.5</c:v>
                </c:pt>
                <c:pt idx="116">
                  <c:v>989</c:v>
                </c:pt>
                <c:pt idx="117">
                  <c:v>1142.5</c:v>
                </c:pt>
                <c:pt idx="118">
                  <c:v>742</c:v>
                </c:pt>
                <c:pt idx="119">
                  <c:v>511.5</c:v>
                </c:pt>
                <c:pt idx="120">
                  <c:v>775</c:v>
                </c:pt>
                <c:pt idx="121">
                  <c:v>885</c:v>
                </c:pt>
                <c:pt idx="122">
                  <c:v>630.5</c:v>
                </c:pt>
                <c:pt idx="123">
                  <c:v>812</c:v>
                </c:pt>
                <c:pt idx="124">
                  <c:v>846</c:v>
                </c:pt>
                <c:pt idx="125">
                  <c:v>564.5</c:v>
                </c:pt>
                <c:pt idx="126">
                  <c:v>689</c:v>
                </c:pt>
                <c:pt idx="127">
                  <c:v>1057</c:v>
                </c:pt>
                <c:pt idx="128">
                  <c:v>868.5</c:v>
                </c:pt>
                <c:pt idx="129">
                  <c:v>707</c:v>
                </c:pt>
                <c:pt idx="130">
                  <c:v>1172.5</c:v>
                </c:pt>
                <c:pt idx="131">
                  <c:v>1352</c:v>
                </c:pt>
                <c:pt idx="132">
                  <c:v>1175.5</c:v>
                </c:pt>
                <c:pt idx="133">
                  <c:v>977</c:v>
                </c:pt>
                <c:pt idx="134">
                  <c:v>1065.5</c:v>
                </c:pt>
                <c:pt idx="135">
                  <c:v>1263</c:v>
                </c:pt>
                <c:pt idx="136">
                  <c:v>1012.5</c:v>
                </c:pt>
                <c:pt idx="137">
                  <c:v>521.5</c:v>
                </c:pt>
                <c:pt idx="138">
                  <c:v>419.5</c:v>
                </c:pt>
                <c:pt idx="139">
                  <c:v>687.5</c:v>
                </c:pt>
                <c:pt idx="140">
                  <c:v>936</c:v>
                </c:pt>
                <c:pt idx="141">
                  <c:v>782</c:v>
                </c:pt>
                <c:pt idx="142">
                  <c:v>697.5</c:v>
                </c:pt>
                <c:pt idx="143">
                  <c:v>866.5</c:v>
                </c:pt>
                <c:pt idx="144">
                  <c:v>797.5</c:v>
                </c:pt>
                <c:pt idx="145">
                  <c:v>567.5</c:v>
                </c:pt>
                <c:pt idx="146">
                  <c:v>453</c:v>
                </c:pt>
                <c:pt idx="147">
                  <c:v>412</c:v>
                </c:pt>
                <c:pt idx="148">
                  <c:v>476.5</c:v>
                </c:pt>
                <c:pt idx="149">
                  <c:v>928.5</c:v>
                </c:pt>
                <c:pt idx="150">
                  <c:v>1106.5</c:v>
                </c:pt>
                <c:pt idx="151">
                  <c:v>1144</c:v>
                </c:pt>
                <c:pt idx="152">
                  <c:v>1198.5</c:v>
                </c:pt>
                <c:pt idx="153">
                  <c:v>1112.5</c:v>
                </c:pt>
                <c:pt idx="154">
                  <c:v>934</c:v>
                </c:pt>
                <c:pt idx="155">
                  <c:v>519</c:v>
                </c:pt>
                <c:pt idx="156">
                  <c:v>740</c:v>
                </c:pt>
                <c:pt idx="157">
                  <c:v>847.5</c:v>
                </c:pt>
                <c:pt idx="158">
                  <c:v>649.5</c:v>
                </c:pt>
                <c:pt idx="159">
                  <c:v>654</c:v>
                </c:pt>
                <c:pt idx="160">
                  <c:v>756.5</c:v>
                </c:pt>
                <c:pt idx="161">
                  <c:v>964.5</c:v>
                </c:pt>
                <c:pt idx="162">
                  <c:v>659.5</c:v>
                </c:pt>
                <c:pt idx="163">
                  <c:v>511.5</c:v>
                </c:pt>
                <c:pt idx="164">
                  <c:v>509</c:v>
                </c:pt>
                <c:pt idx="165">
                  <c:v>432</c:v>
                </c:pt>
                <c:pt idx="166">
                  <c:v>532</c:v>
                </c:pt>
                <c:pt idx="167">
                  <c:v>502.5</c:v>
                </c:pt>
                <c:pt idx="168">
                  <c:v>859.5</c:v>
                </c:pt>
                <c:pt idx="169">
                  <c:v>915</c:v>
                </c:pt>
                <c:pt idx="170">
                  <c:v>713.5</c:v>
                </c:pt>
                <c:pt idx="171">
                  <c:v>932</c:v>
                </c:pt>
                <c:pt idx="172">
                  <c:v>919</c:v>
                </c:pt>
                <c:pt idx="173">
                  <c:v>878.5</c:v>
                </c:pt>
                <c:pt idx="174">
                  <c:v>1113</c:v>
                </c:pt>
                <c:pt idx="175">
                  <c:v>851</c:v>
                </c:pt>
                <c:pt idx="176">
                  <c:v>689.5</c:v>
                </c:pt>
                <c:pt idx="177">
                  <c:v>777.5</c:v>
                </c:pt>
                <c:pt idx="178">
                  <c:v>871.5</c:v>
                </c:pt>
                <c:pt idx="179">
                  <c:v>853</c:v>
                </c:pt>
                <c:pt idx="180">
                  <c:v>924.5</c:v>
                </c:pt>
                <c:pt idx="181">
                  <c:v>1334.5</c:v>
                </c:pt>
                <c:pt idx="182">
                  <c:v>955</c:v>
                </c:pt>
                <c:pt idx="183">
                  <c:v>595</c:v>
                </c:pt>
                <c:pt idx="184">
                  <c:v>583</c:v>
                </c:pt>
                <c:pt idx="185">
                  <c:v>697.5</c:v>
                </c:pt>
                <c:pt idx="186">
                  <c:v>799</c:v>
                </c:pt>
                <c:pt idx="187">
                  <c:v>725.5</c:v>
                </c:pt>
                <c:pt idx="188">
                  <c:v>541</c:v>
                </c:pt>
                <c:pt idx="189">
                  <c:v>490</c:v>
                </c:pt>
                <c:pt idx="190">
                  <c:v>743</c:v>
                </c:pt>
                <c:pt idx="191">
                  <c:v>1003.5</c:v>
                </c:pt>
                <c:pt idx="192">
                  <c:v>1064</c:v>
                </c:pt>
                <c:pt idx="193">
                  <c:v>739</c:v>
                </c:pt>
                <c:pt idx="194">
                  <c:v>410</c:v>
                </c:pt>
                <c:pt idx="195">
                  <c:v>587</c:v>
                </c:pt>
                <c:pt idx="196">
                  <c:v>561</c:v>
                </c:pt>
                <c:pt idx="197">
                  <c:v>535</c:v>
                </c:pt>
                <c:pt idx="198">
                  <c:v>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7F-4CEE-BDD8-2BD5A21C2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448992"/>
        <c:axId val="238449472"/>
      </c:lineChart>
      <c:catAx>
        <c:axId val="23844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238449472"/>
        <c:crosses val="autoZero"/>
        <c:auto val="1"/>
        <c:lblAlgn val="ctr"/>
        <c:lblOffset val="100"/>
        <c:noMultiLvlLbl val="0"/>
      </c:catAx>
      <c:valAx>
        <c:axId val="238449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Fallower Growth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84489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Twitter Ad Spend and Follower</a:t>
            </a:r>
            <a:r>
              <a:rPr lang="en-IN" baseline="0"/>
              <a:t> Growth</a:t>
            </a:r>
            <a:r>
              <a:rPr lang="en-IN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352955880514933"/>
          <c:y val="8.0938338520245456E-2"/>
          <c:w val="0.79580864891888514"/>
          <c:h val="0.714648295741966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'Engagement Summary'!$A$3:$A$201</c:f>
              <c:numCache>
                <c:formatCode>m/d/yyyy</c:formatCode>
                <c:ptCount val="199"/>
                <c:pt idx="0">
                  <c:v>45446</c:v>
                </c:pt>
                <c:pt idx="1">
                  <c:v>45446</c:v>
                </c:pt>
                <c:pt idx="2">
                  <c:v>45453</c:v>
                </c:pt>
                <c:pt idx="3">
                  <c:v>45453</c:v>
                </c:pt>
                <c:pt idx="4">
                  <c:v>45453</c:v>
                </c:pt>
                <c:pt idx="5">
                  <c:v>45460</c:v>
                </c:pt>
                <c:pt idx="6">
                  <c:v>45460</c:v>
                </c:pt>
                <c:pt idx="7">
                  <c:v>45460</c:v>
                </c:pt>
                <c:pt idx="8">
                  <c:v>45467</c:v>
                </c:pt>
                <c:pt idx="9">
                  <c:v>45467</c:v>
                </c:pt>
                <c:pt idx="10">
                  <c:v>45467</c:v>
                </c:pt>
                <c:pt idx="11">
                  <c:v>45474</c:v>
                </c:pt>
                <c:pt idx="12">
                  <c:v>45474</c:v>
                </c:pt>
                <c:pt idx="13">
                  <c:v>45474</c:v>
                </c:pt>
                <c:pt idx="14">
                  <c:v>45481</c:v>
                </c:pt>
                <c:pt idx="15">
                  <c:v>45481</c:v>
                </c:pt>
                <c:pt idx="16">
                  <c:v>45481</c:v>
                </c:pt>
                <c:pt idx="17">
                  <c:v>45488</c:v>
                </c:pt>
                <c:pt idx="18">
                  <c:v>45488</c:v>
                </c:pt>
                <c:pt idx="19">
                  <c:v>45488</c:v>
                </c:pt>
                <c:pt idx="20">
                  <c:v>45495</c:v>
                </c:pt>
                <c:pt idx="21">
                  <c:v>45495</c:v>
                </c:pt>
                <c:pt idx="22">
                  <c:v>45495</c:v>
                </c:pt>
                <c:pt idx="23">
                  <c:v>45502</c:v>
                </c:pt>
                <c:pt idx="24">
                  <c:v>45502</c:v>
                </c:pt>
                <c:pt idx="25">
                  <c:v>45502</c:v>
                </c:pt>
                <c:pt idx="26">
                  <c:v>45509</c:v>
                </c:pt>
                <c:pt idx="27">
                  <c:v>45509</c:v>
                </c:pt>
                <c:pt idx="28">
                  <c:v>45509</c:v>
                </c:pt>
                <c:pt idx="29">
                  <c:v>45516</c:v>
                </c:pt>
                <c:pt idx="30">
                  <c:v>45516</c:v>
                </c:pt>
                <c:pt idx="31">
                  <c:v>45516</c:v>
                </c:pt>
                <c:pt idx="32">
                  <c:v>45523</c:v>
                </c:pt>
                <c:pt idx="33">
                  <c:v>45523</c:v>
                </c:pt>
                <c:pt idx="34">
                  <c:v>45523</c:v>
                </c:pt>
                <c:pt idx="35">
                  <c:v>45530</c:v>
                </c:pt>
                <c:pt idx="36">
                  <c:v>45530</c:v>
                </c:pt>
                <c:pt idx="37">
                  <c:v>45530</c:v>
                </c:pt>
                <c:pt idx="38">
                  <c:v>45537</c:v>
                </c:pt>
                <c:pt idx="39">
                  <c:v>45537</c:v>
                </c:pt>
                <c:pt idx="40">
                  <c:v>45537</c:v>
                </c:pt>
                <c:pt idx="41">
                  <c:v>45544</c:v>
                </c:pt>
                <c:pt idx="42">
                  <c:v>45544</c:v>
                </c:pt>
                <c:pt idx="43">
                  <c:v>45544</c:v>
                </c:pt>
                <c:pt idx="44">
                  <c:v>45551</c:v>
                </c:pt>
                <c:pt idx="45">
                  <c:v>45551</c:v>
                </c:pt>
                <c:pt idx="46">
                  <c:v>45551</c:v>
                </c:pt>
                <c:pt idx="47">
                  <c:v>45558</c:v>
                </c:pt>
                <c:pt idx="48">
                  <c:v>45558</c:v>
                </c:pt>
                <c:pt idx="49">
                  <c:v>45558</c:v>
                </c:pt>
                <c:pt idx="50">
                  <c:v>45565</c:v>
                </c:pt>
                <c:pt idx="51">
                  <c:v>45565</c:v>
                </c:pt>
                <c:pt idx="52">
                  <c:v>45565</c:v>
                </c:pt>
                <c:pt idx="53">
                  <c:v>45572</c:v>
                </c:pt>
                <c:pt idx="54">
                  <c:v>45572</c:v>
                </c:pt>
                <c:pt idx="55">
                  <c:v>45572</c:v>
                </c:pt>
                <c:pt idx="56">
                  <c:v>45579</c:v>
                </c:pt>
                <c:pt idx="57">
                  <c:v>45579</c:v>
                </c:pt>
                <c:pt idx="58">
                  <c:v>45579</c:v>
                </c:pt>
                <c:pt idx="59">
                  <c:v>45586</c:v>
                </c:pt>
                <c:pt idx="60">
                  <c:v>45586</c:v>
                </c:pt>
                <c:pt idx="61">
                  <c:v>45586</c:v>
                </c:pt>
                <c:pt idx="62">
                  <c:v>45593</c:v>
                </c:pt>
                <c:pt idx="63">
                  <c:v>45593</c:v>
                </c:pt>
                <c:pt idx="64">
                  <c:v>45593</c:v>
                </c:pt>
                <c:pt idx="65">
                  <c:v>45600</c:v>
                </c:pt>
                <c:pt idx="66">
                  <c:v>45600</c:v>
                </c:pt>
                <c:pt idx="67">
                  <c:v>45600</c:v>
                </c:pt>
                <c:pt idx="68">
                  <c:v>45607</c:v>
                </c:pt>
                <c:pt idx="69">
                  <c:v>45607</c:v>
                </c:pt>
                <c:pt idx="70">
                  <c:v>45607</c:v>
                </c:pt>
                <c:pt idx="71">
                  <c:v>45614</c:v>
                </c:pt>
                <c:pt idx="72">
                  <c:v>45614</c:v>
                </c:pt>
                <c:pt idx="73">
                  <c:v>45614</c:v>
                </c:pt>
                <c:pt idx="74">
                  <c:v>45621</c:v>
                </c:pt>
                <c:pt idx="75">
                  <c:v>45621</c:v>
                </c:pt>
                <c:pt idx="76">
                  <c:v>45621</c:v>
                </c:pt>
                <c:pt idx="77">
                  <c:v>45628</c:v>
                </c:pt>
                <c:pt idx="78">
                  <c:v>45628</c:v>
                </c:pt>
                <c:pt idx="79">
                  <c:v>45628</c:v>
                </c:pt>
                <c:pt idx="80">
                  <c:v>45635</c:v>
                </c:pt>
                <c:pt idx="81">
                  <c:v>45635</c:v>
                </c:pt>
                <c:pt idx="82">
                  <c:v>45635</c:v>
                </c:pt>
                <c:pt idx="83">
                  <c:v>45642</c:v>
                </c:pt>
                <c:pt idx="84">
                  <c:v>45642</c:v>
                </c:pt>
                <c:pt idx="85">
                  <c:v>45642</c:v>
                </c:pt>
                <c:pt idx="86">
                  <c:v>45649</c:v>
                </c:pt>
                <c:pt idx="87">
                  <c:v>45649</c:v>
                </c:pt>
                <c:pt idx="88">
                  <c:v>45649</c:v>
                </c:pt>
                <c:pt idx="89">
                  <c:v>45656</c:v>
                </c:pt>
                <c:pt idx="90">
                  <c:v>45656</c:v>
                </c:pt>
                <c:pt idx="91">
                  <c:v>45656</c:v>
                </c:pt>
                <c:pt idx="92">
                  <c:v>45663</c:v>
                </c:pt>
                <c:pt idx="93">
                  <c:v>45663</c:v>
                </c:pt>
                <c:pt idx="94">
                  <c:v>45663</c:v>
                </c:pt>
                <c:pt idx="95">
                  <c:v>45670</c:v>
                </c:pt>
                <c:pt idx="96">
                  <c:v>45670</c:v>
                </c:pt>
                <c:pt idx="97">
                  <c:v>45670</c:v>
                </c:pt>
                <c:pt idx="98">
                  <c:v>45677</c:v>
                </c:pt>
                <c:pt idx="99">
                  <c:v>45677</c:v>
                </c:pt>
                <c:pt idx="100">
                  <c:v>45677</c:v>
                </c:pt>
                <c:pt idx="101">
                  <c:v>45684</c:v>
                </c:pt>
                <c:pt idx="102">
                  <c:v>45684</c:v>
                </c:pt>
                <c:pt idx="103">
                  <c:v>45684</c:v>
                </c:pt>
                <c:pt idx="104">
                  <c:v>45691</c:v>
                </c:pt>
                <c:pt idx="105">
                  <c:v>45691</c:v>
                </c:pt>
                <c:pt idx="106">
                  <c:v>45691</c:v>
                </c:pt>
                <c:pt idx="107">
                  <c:v>45698</c:v>
                </c:pt>
                <c:pt idx="108">
                  <c:v>45698</c:v>
                </c:pt>
                <c:pt idx="109">
                  <c:v>45698</c:v>
                </c:pt>
                <c:pt idx="110">
                  <c:v>45705</c:v>
                </c:pt>
                <c:pt idx="111">
                  <c:v>45705</c:v>
                </c:pt>
                <c:pt idx="112">
                  <c:v>45705</c:v>
                </c:pt>
                <c:pt idx="113">
                  <c:v>45712</c:v>
                </c:pt>
                <c:pt idx="114">
                  <c:v>45712</c:v>
                </c:pt>
                <c:pt idx="115">
                  <c:v>45712</c:v>
                </c:pt>
                <c:pt idx="116">
                  <c:v>45719</c:v>
                </c:pt>
                <c:pt idx="117">
                  <c:v>45719</c:v>
                </c:pt>
                <c:pt idx="118">
                  <c:v>45719</c:v>
                </c:pt>
                <c:pt idx="119">
                  <c:v>45726</c:v>
                </c:pt>
                <c:pt idx="120">
                  <c:v>45726</c:v>
                </c:pt>
                <c:pt idx="121">
                  <c:v>45726</c:v>
                </c:pt>
                <c:pt idx="122">
                  <c:v>45733</c:v>
                </c:pt>
                <c:pt idx="123">
                  <c:v>45733</c:v>
                </c:pt>
                <c:pt idx="124">
                  <c:v>45733</c:v>
                </c:pt>
                <c:pt idx="125">
                  <c:v>45740</c:v>
                </c:pt>
                <c:pt idx="126">
                  <c:v>45740</c:v>
                </c:pt>
                <c:pt idx="127">
                  <c:v>45740</c:v>
                </c:pt>
                <c:pt idx="128">
                  <c:v>45747</c:v>
                </c:pt>
                <c:pt idx="129">
                  <c:v>45747</c:v>
                </c:pt>
                <c:pt idx="130">
                  <c:v>45747</c:v>
                </c:pt>
                <c:pt idx="131">
                  <c:v>45754</c:v>
                </c:pt>
                <c:pt idx="132">
                  <c:v>45754</c:v>
                </c:pt>
                <c:pt idx="133">
                  <c:v>45754</c:v>
                </c:pt>
                <c:pt idx="134">
                  <c:v>45761</c:v>
                </c:pt>
                <c:pt idx="135">
                  <c:v>45761</c:v>
                </c:pt>
                <c:pt idx="136">
                  <c:v>45761</c:v>
                </c:pt>
                <c:pt idx="137">
                  <c:v>45768</c:v>
                </c:pt>
                <c:pt idx="138">
                  <c:v>45768</c:v>
                </c:pt>
                <c:pt idx="139">
                  <c:v>45768</c:v>
                </c:pt>
                <c:pt idx="140">
                  <c:v>45775</c:v>
                </c:pt>
                <c:pt idx="141">
                  <c:v>45775</c:v>
                </c:pt>
                <c:pt idx="142">
                  <c:v>45775</c:v>
                </c:pt>
                <c:pt idx="143">
                  <c:v>45782</c:v>
                </c:pt>
                <c:pt idx="144">
                  <c:v>45782</c:v>
                </c:pt>
                <c:pt idx="145">
                  <c:v>45782</c:v>
                </c:pt>
                <c:pt idx="146">
                  <c:v>45789</c:v>
                </c:pt>
                <c:pt idx="147">
                  <c:v>45789</c:v>
                </c:pt>
                <c:pt idx="148">
                  <c:v>45789</c:v>
                </c:pt>
                <c:pt idx="149">
                  <c:v>45796</c:v>
                </c:pt>
                <c:pt idx="150">
                  <c:v>45796</c:v>
                </c:pt>
                <c:pt idx="151">
                  <c:v>45796</c:v>
                </c:pt>
                <c:pt idx="152">
                  <c:v>45803</c:v>
                </c:pt>
                <c:pt idx="153">
                  <c:v>45803</c:v>
                </c:pt>
                <c:pt idx="154">
                  <c:v>45803</c:v>
                </c:pt>
                <c:pt idx="155">
                  <c:v>45810</c:v>
                </c:pt>
                <c:pt idx="156">
                  <c:v>45810</c:v>
                </c:pt>
                <c:pt idx="157">
                  <c:v>45810</c:v>
                </c:pt>
                <c:pt idx="158">
                  <c:v>45817</c:v>
                </c:pt>
                <c:pt idx="159">
                  <c:v>45817</c:v>
                </c:pt>
                <c:pt idx="160">
                  <c:v>45817</c:v>
                </c:pt>
                <c:pt idx="161">
                  <c:v>45824</c:v>
                </c:pt>
                <c:pt idx="162">
                  <c:v>45824</c:v>
                </c:pt>
                <c:pt idx="163">
                  <c:v>45824</c:v>
                </c:pt>
                <c:pt idx="164">
                  <c:v>45831</c:v>
                </c:pt>
                <c:pt idx="165">
                  <c:v>45831</c:v>
                </c:pt>
                <c:pt idx="166">
                  <c:v>45831</c:v>
                </c:pt>
                <c:pt idx="167">
                  <c:v>45838</c:v>
                </c:pt>
                <c:pt idx="168">
                  <c:v>45838</c:v>
                </c:pt>
                <c:pt idx="169">
                  <c:v>45838</c:v>
                </c:pt>
                <c:pt idx="170">
                  <c:v>45845</c:v>
                </c:pt>
                <c:pt idx="171">
                  <c:v>45845</c:v>
                </c:pt>
                <c:pt idx="172">
                  <c:v>45845</c:v>
                </c:pt>
                <c:pt idx="173">
                  <c:v>45852</c:v>
                </c:pt>
                <c:pt idx="174">
                  <c:v>45852</c:v>
                </c:pt>
                <c:pt idx="175">
                  <c:v>45852</c:v>
                </c:pt>
                <c:pt idx="176">
                  <c:v>45859</c:v>
                </c:pt>
                <c:pt idx="177">
                  <c:v>45859</c:v>
                </c:pt>
                <c:pt idx="178">
                  <c:v>45859</c:v>
                </c:pt>
                <c:pt idx="179">
                  <c:v>45866</c:v>
                </c:pt>
                <c:pt idx="180">
                  <c:v>45866</c:v>
                </c:pt>
                <c:pt idx="181">
                  <c:v>45866</c:v>
                </c:pt>
                <c:pt idx="182">
                  <c:v>45873</c:v>
                </c:pt>
                <c:pt idx="183">
                  <c:v>45873</c:v>
                </c:pt>
                <c:pt idx="184">
                  <c:v>45873</c:v>
                </c:pt>
                <c:pt idx="185">
                  <c:v>45880</c:v>
                </c:pt>
                <c:pt idx="186">
                  <c:v>45880</c:v>
                </c:pt>
                <c:pt idx="187">
                  <c:v>45880</c:v>
                </c:pt>
                <c:pt idx="188">
                  <c:v>45887</c:v>
                </c:pt>
                <c:pt idx="189">
                  <c:v>45887</c:v>
                </c:pt>
                <c:pt idx="190">
                  <c:v>45887</c:v>
                </c:pt>
                <c:pt idx="191">
                  <c:v>45894</c:v>
                </c:pt>
                <c:pt idx="192">
                  <c:v>45894</c:v>
                </c:pt>
                <c:pt idx="193">
                  <c:v>45894</c:v>
                </c:pt>
                <c:pt idx="194">
                  <c:v>45901</c:v>
                </c:pt>
                <c:pt idx="195">
                  <c:v>45901</c:v>
                </c:pt>
                <c:pt idx="196">
                  <c:v>45901</c:v>
                </c:pt>
                <c:pt idx="197">
                  <c:v>45908</c:v>
                </c:pt>
                <c:pt idx="198">
                  <c:v>45908</c:v>
                </c:pt>
              </c:numCache>
            </c:numRef>
          </c:cat>
          <c:val>
            <c:numRef>
              <c:f>'Engagement Summary'!$G$3:$G$201</c:f>
              <c:numCache>
                <c:formatCode>General</c:formatCode>
                <c:ptCount val="199"/>
                <c:pt idx="0">
                  <c:v>22788</c:v>
                </c:pt>
                <c:pt idx="1">
                  <c:v>7810</c:v>
                </c:pt>
                <c:pt idx="2">
                  <c:v>11966</c:v>
                </c:pt>
                <c:pt idx="3">
                  <c:v>26298</c:v>
                </c:pt>
                <c:pt idx="4">
                  <c:v>22029</c:v>
                </c:pt>
                <c:pt idx="5">
                  <c:v>12391</c:v>
                </c:pt>
                <c:pt idx="6">
                  <c:v>14477</c:v>
                </c:pt>
                <c:pt idx="7">
                  <c:v>25040</c:v>
                </c:pt>
                <c:pt idx="8">
                  <c:v>22619</c:v>
                </c:pt>
                <c:pt idx="9">
                  <c:v>12399</c:v>
                </c:pt>
                <c:pt idx="10">
                  <c:v>22456</c:v>
                </c:pt>
                <c:pt idx="11">
                  <c:v>12277</c:v>
                </c:pt>
                <c:pt idx="12">
                  <c:v>19328</c:v>
                </c:pt>
                <c:pt idx="13">
                  <c:v>21107</c:v>
                </c:pt>
                <c:pt idx="14">
                  <c:v>11684</c:v>
                </c:pt>
                <c:pt idx="15">
                  <c:v>14412</c:v>
                </c:pt>
                <c:pt idx="16">
                  <c:v>15924</c:v>
                </c:pt>
                <c:pt idx="17">
                  <c:v>12390</c:v>
                </c:pt>
                <c:pt idx="18">
                  <c:v>25742</c:v>
                </c:pt>
                <c:pt idx="19">
                  <c:v>10495</c:v>
                </c:pt>
                <c:pt idx="20">
                  <c:v>24617</c:v>
                </c:pt>
                <c:pt idx="21">
                  <c:v>7797</c:v>
                </c:pt>
                <c:pt idx="22">
                  <c:v>15595</c:v>
                </c:pt>
                <c:pt idx="23">
                  <c:v>11421</c:v>
                </c:pt>
                <c:pt idx="24">
                  <c:v>9847</c:v>
                </c:pt>
                <c:pt idx="25">
                  <c:v>13644</c:v>
                </c:pt>
                <c:pt idx="26">
                  <c:v>15613</c:v>
                </c:pt>
                <c:pt idx="27">
                  <c:v>23900</c:v>
                </c:pt>
                <c:pt idx="28">
                  <c:v>5836</c:v>
                </c:pt>
                <c:pt idx="29">
                  <c:v>5624</c:v>
                </c:pt>
                <c:pt idx="30">
                  <c:v>10311</c:v>
                </c:pt>
                <c:pt idx="31">
                  <c:v>8274</c:v>
                </c:pt>
                <c:pt idx="32">
                  <c:v>18267</c:v>
                </c:pt>
                <c:pt idx="33">
                  <c:v>6031</c:v>
                </c:pt>
                <c:pt idx="34">
                  <c:v>27829</c:v>
                </c:pt>
                <c:pt idx="35">
                  <c:v>13051</c:v>
                </c:pt>
                <c:pt idx="36">
                  <c:v>26644</c:v>
                </c:pt>
                <c:pt idx="37">
                  <c:v>26624</c:v>
                </c:pt>
                <c:pt idx="38">
                  <c:v>14217</c:v>
                </c:pt>
                <c:pt idx="39">
                  <c:v>16385</c:v>
                </c:pt>
                <c:pt idx="40">
                  <c:v>24548</c:v>
                </c:pt>
                <c:pt idx="41">
                  <c:v>16875</c:v>
                </c:pt>
                <c:pt idx="42">
                  <c:v>9195</c:v>
                </c:pt>
                <c:pt idx="43">
                  <c:v>18071</c:v>
                </c:pt>
                <c:pt idx="44">
                  <c:v>20306</c:v>
                </c:pt>
                <c:pt idx="45">
                  <c:v>21134</c:v>
                </c:pt>
                <c:pt idx="46">
                  <c:v>9567</c:v>
                </c:pt>
                <c:pt idx="47">
                  <c:v>23963</c:v>
                </c:pt>
                <c:pt idx="48">
                  <c:v>10253</c:v>
                </c:pt>
                <c:pt idx="49">
                  <c:v>26872</c:v>
                </c:pt>
                <c:pt idx="50">
                  <c:v>11335</c:v>
                </c:pt>
                <c:pt idx="51">
                  <c:v>12115</c:v>
                </c:pt>
                <c:pt idx="52">
                  <c:v>24358</c:v>
                </c:pt>
                <c:pt idx="53">
                  <c:v>12181</c:v>
                </c:pt>
                <c:pt idx="54">
                  <c:v>17729</c:v>
                </c:pt>
                <c:pt idx="55">
                  <c:v>10881</c:v>
                </c:pt>
                <c:pt idx="56">
                  <c:v>18576</c:v>
                </c:pt>
                <c:pt idx="57">
                  <c:v>9383</c:v>
                </c:pt>
                <c:pt idx="58">
                  <c:v>14178</c:v>
                </c:pt>
                <c:pt idx="59">
                  <c:v>16921</c:v>
                </c:pt>
                <c:pt idx="60">
                  <c:v>14215</c:v>
                </c:pt>
                <c:pt idx="61">
                  <c:v>21254</c:v>
                </c:pt>
                <c:pt idx="62">
                  <c:v>25130</c:v>
                </c:pt>
                <c:pt idx="63">
                  <c:v>25537</c:v>
                </c:pt>
                <c:pt idx="64">
                  <c:v>24943</c:v>
                </c:pt>
                <c:pt idx="65">
                  <c:v>14563</c:v>
                </c:pt>
                <c:pt idx="66">
                  <c:v>26273</c:v>
                </c:pt>
                <c:pt idx="67">
                  <c:v>10858</c:v>
                </c:pt>
                <c:pt idx="68">
                  <c:v>25038</c:v>
                </c:pt>
                <c:pt idx="69">
                  <c:v>9092</c:v>
                </c:pt>
                <c:pt idx="70">
                  <c:v>17662</c:v>
                </c:pt>
                <c:pt idx="71">
                  <c:v>25347</c:v>
                </c:pt>
                <c:pt idx="72">
                  <c:v>8910</c:v>
                </c:pt>
                <c:pt idx="73">
                  <c:v>5924</c:v>
                </c:pt>
                <c:pt idx="74">
                  <c:v>20438</c:v>
                </c:pt>
                <c:pt idx="75">
                  <c:v>8760</c:v>
                </c:pt>
                <c:pt idx="76">
                  <c:v>6625</c:v>
                </c:pt>
                <c:pt idx="77">
                  <c:v>23329</c:v>
                </c:pt>
                <c:pt idx="78">
                  <c:v>7299</c:v>
                </c:pt>
                <c:pt idx="79">
                  <c:v>14496</c:v>
                </c:pt>
                <c:pt idx="80">
                  <c:v>25703</c:v>
                </c:pt>
                <c:pt idx="81">
                  <c:v>15108</c:v>
                </c:pt>
                <c:pt idx="82">
                  <c:v>18867</c:v>
                </c:pt>
                <c:pt idx="83">
                  <c:v>21079</c:v>
                </c:pt>
                <c:pt idx="84">
                  <c:v>12840</c:v>
                </c:pt>
                <c:pt idx="85">
                  <c:v>17574</c:v>
                </c:pt>
                <c:pt idx="86">
                  <c:v>23486</c:v>
                </c:pt>
                <c:pt idx="87">
                  <c:v>5960</c:v>
                </c:pt>
                <c:pt idx="88">
                  <c:v>13301</c:v>
                </c:pt>
                <c:pt idx="89">
                  <c:v>10563</c:v>
                </c:pt>
                <c:pt idx="90">
                  <c:v>19949</c:v>
                </c:pt>
                <c:pt idx="91">
                  <c:v>14273</c:v>
                </c:pt>
                <c:pt idx="92">
                  <c:v>9247</c:v>
                </c:pt>
                <c:pt idx="93">
                  <c:v>11972</c:v>
                </c:pt>
                <c:pt idx="94">
                  <c:v>13314</c:v>
                </c:pt>
                <c:pt idx="95">
                  <c:v>6868</c:v>
                </c:pt>
                <c:pt idx="96">
                  <c:v>6027</c:v>
                </c:pt>
                <c:pt idx="97">
                  <c:v>14749</c:v>
                </c:pt>
                <c:pt idx="98">
                  <c:v>11181</c:v>
                </c:pt>
                <c:pt idx="99">
                  <c:v>25267</c:v>
                </c:pt>
                <c:pt idx="100">
                  <c:v>5900</c:v>
                </c:pt>
                <c:pt idx="101">
                  <c:v>9592</c:v>
                </c:pt>
                <c:pt idx="102">
                  <c:v>5291</c:v>
                </c:pt>
                <c:pt idx="103">
                  <c:v>22244</c:v>
                </c:pt>
                <c:pt idx="104">
                  <c:v>6824</c:v>
                </c:pt>
                <c:pt idx="105">
                  <c:v>24112</c:v>
                </c:pt>
                <c:pt idx="106">
                  <c:v>25478</c:v>
                </c:pt>
                <c:pt idx="107">
                  <c:v>11235</c:v>
                </c:pt>
                <c:pt idx="108">
                  <c:v>6120</c:v>
                </c:pt>
                <c:pt idx="109">
                  <c:v>20572</c:v>
                </c:pt>
                <c:pt idx="110">
                  <c:v>6532</c:v>
                </c:pt>
                <c:pt idx="111">
                  <c:v>22234</c:v>
                </c:pt>
                <c:pt idx="112">
                  <c:v>14975</c:v>
                </c:pt>
                <c:pt idx="113">
                  <c:v>24858</c:v>
                </c:pt>
                <c:pt idx="114">
                  <c:v>13883</c:v>
                </c:pt>
                <c:pt idx="115">
                  <c:v>18654</c:v>
                </c:pt>
                <c:pt idx="116">
                  <c:v>25234</c:v>
                </c:pt>
                <c:pt idx="117">
                  <c:v>6772</c:v>
                </c:pt>
                <c:pt idx="118">
                  <c:v>22428</c:v>
                </c:pt>
                <c:pt idx="119">
                  <c:v>11911</c:v>
                </c:pt>
                <c:pt idx="120">
                  <c:v>21900</c:v>
                </c:pt>
                <c:pt idx="121">
                  <c:v>25542</c:v>
                </c:pt>
                <c:pt idx="122">
                  <c:v>20474</c:v>
                </c:pt>
                <c:pt idx="123">
                  <c:v>8698</c:v>
                </c:pt>
                <c:pt idx="124">
                  <c:v>7140</c:v>
                </c:pt>
                <c:pt idx="125">
                  <c:v>10402</c:v>
                </c:pt>
                <c:pt idx="126">
                  <c:v>26618</c:v>
                </c:pt>
                <c:pt idx="127">
                  <c:v>7975</c:v>
                </c:pt>
                <c:pt idx="128">
                  <c:v>19054</c:v>
                </c:pt>
                <c:pt idx="129">
                  <c:v>13740</c:v>
                </c:pt>
                <c:pt idx="130">
                  <c:v>18442</c:v>
                </c:pt>
                <c:pt idx="131">
                  <c:v>10104</c:v>
                </c:pt>
                <c:pt idx="132">
                  <c:v>21771</c:v>
                </c:pt>
                <c:pt idx="133">
                  <c:v>22191</c:v>
                </c:pt>
                <c:pt idx="134">
                  <c:v>27393</c:v>
                </c:pt>
                <c:pt idx="135">
                  <c:v>23736</c:v>
                </c:pt>
                <c:pt idx="136">
                  <c:v>27753</c:v>
                </c:pt>
                <c:pt idx="137">
                  <c:v>10343</c:v>
                </c:pt>
                <c:pt idx="138">
                  <c:v>25259</c:v>
                </c:pt>
                <c:pt idx="139">
                  <c:v>24827</c:v>
                </c:pt>
                <c:pt idx="140">
                  <c:v>11908</c:v>
                </c:pt>
                <c:pt idx="141">
                  <c:v>11005</c:v>
                </c:pt>
                <c:pt idx="142">
                  <c:v>26333</c:v>
                </c:pt>
                <c:pt idx="143">
                  <c:v>5495</c:v>
                </c:pt>
                <c:pt idx="144">
                  <c:v>15655</c:v>
                </c:pt>
                <c:pt idx="145">
                  <c:v>13763</c:v>
                </c:pt>
                <c:pt idx="146">
                  <c:v>12774</c:v>
                </c:pt>
                <c:pt idx="147">
                  <c:v>19000</c:v>
                </c:pt>
                <c:pt idx="148">
                  <c:v>26073</c:v>
                </c:pt>
                <c:pt idx="149">
                  <c:v>7859</c:v>
                </c:pt>
                <c:pt idx="150">
                  <c:v>14051</c:v>
                </c:pt>
                <c:pt idx="151">
                  <c:v>27782</c:v>
                </c:pt>
                <c:pt idx="152">
                  <c:v>15773</c:v>
                </c:pt>
                <c:pt idx="153">
                  <c:v>20595</c:v>
                </c:pt>
                <c:pt idx="154">
                  <c:v>12031</c:v>
                </c:pt>
                <c:pt idx="155">
                  <c:v>15128</c:v>
                </c:pt>
                <c:pt idx="156">
                  <c:v>11826</c:v>
                </c:pt>
                <c:pt idx="157">
                  <c:v>12562</c:v>
                </c:pt>
                <c:pt idx="158">
                  <c:v>13013</c:v>
                </c:pt>
                <c:pt idx="159">
                  <c:v>12937</c:v>
                </c:pt>
                <c:pt idx="160">
                  <c:v>14534</c:v>
                </c:pt>
                <c:pt idx="161">
                  <c:v>20109</c:v>
                </c:pt>
                <c:pt idx="162">
                  <c:v>10615</c:v>
                </c:pt>
                <c:pt idx="163">
                  <c:v>8182</c:v>
                </c:pt>
                <c:pt idx="164">
                  <c:v>26024</c:v>
                </c:pt>
                <c:pt idx="165">
                  <c:v>26730</c:v>
                </c:pt>
                <c:pt idx="166">
                  <c:v>10563</c:v>
                </c:pt>
                <c:pt idx="167">
                  <c:v>27575</c:v>
                </c:pt>
                <c:pt idx="168">
                  <c:v>14479</c:v>
                </c:pt>
                <c:pt idx="169">
                  <c:v>15915</c:v>
                </c:pt>
                <c:pt idx="170">
                  <c:v>12767</c:v>
                </c:pt>
                <c:pt idx="171">
                  <c:v>12170</c:v>
                </c:pt>
                <c:pt idx="172">
                  <c:v>7245</c:v>
                </c:pt>
                <c:pt idx="173">
                  <c:v>11453</c:v>
                </c:pt>
                <c:pt idx="174">
                  <c:v>12985</c:v>
                </c:pt>
                <c:pt idx="175">
                  <c:v>16377</c:v>
                </c:pt>
                <c:pt idx="176">
                  <c:v>12323</c:v>
                </c:pt>
                <c:pt idx="177">
                  <c:v>11911</c:v>
                </c:pt>
                <c:pt idx="178">
                  <c:v>27809</c:v>
                </c:pt>
                <c:pt idx="179">
                  <c:v>21464</c:v>
                </c:pt>
                <c:pt idx="180">
                  <c:v>27126</c:v>
                </c:pt>
                <c:pt idx="181">
                  <c:v>10681</c:v>
                </c:pt>
                <c:pt idx="182">
                  <c:v>18303</c:v>
                </c:pt>
                <c:pt idx="183">
                  <c:v>5413</c:v>
                </c:pt>
                <c:pt idx="184">
                  <c:v>25058</c:v>
                </c:pt>
                <c:pt idx="185">
                  <c:v>5526</c:v>
                </c:pt>
                <c:pt idx="186">
                  <c:v>17460</c:v>
                </c:pt>
                <c:pt idx="187">
                  <c:v>14475</c:v>
                </c:pt>
                <c:pt idx="188">
                  <c:v>20162</c:v>
                </c:pt>
                <c:pt idx="189">
                  <c:v>17103</c:v>
                </c:pt>
                <c:pt idx="190">
                  <c:v>15461</c:v>
                </c:pt>
                <c:pt idx="191">
                  <c:v>11625</c:v>
                </c:pt>
                <c:pt idx="192">
                  <c:v>22103</c:v>
                </c:pt>
                <c:pt idx="193">
                  <c:v>5281</c:v>
                </c:pt>
                <c:pt idx="194">
                  <c:v>13140</c:v>
                </c:pt>
                <c:pt idx="195">
                  <c:v>13424</c:v>
                </c:pt>
                <c:pt idx="196">
                  <c:v>19538</c:v>
                </c:pt>
                <c:pt idx="197">
                  <c:v>7881</c:v>
                </c:pt>
                <c:pt idx="198">
                  <c:v>11418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E6-41C8-A47B-F5EE756E36F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'Engagement Summary'!$A$3:$A$201</c:f>
              <c:numCache>
                <c:formatCode>m/d/yyyy</c:formatCode>
                <c:ptCount val="199"/>
                <c:pt idx="0">
                  <c:v>45446</c:v>
                </c:pt>
                <c:pt idx="1">
                  <c:v>45446</c:v>
                </c:pt>
                <c:pt idx="2">
                  <c:v>45453</c:v>
                </c:pt>
                <c:pt idx="3">
                  <c:v>45453</c:v>
                </c:pt>
                <c:pt idx="4">
                  <c:v>45453</c:v>
                </c:pt>
                <c:pt idx="5">
                  <c:v>45460</c:v>
                </c:pt>
                <c:pt idx="6">
                  <c:v>45460</c:v>
                </c:pt>
                <c:pt idx="7">
                  <c:v>45460</c:v>
                </c:pt>
                <c:pt idx="8">
                  <c:v>45467</c:v>
                </c:pt>
                <c:pt idx="9">
                  <c:v>45467</c:v>
                </c:pt>
                <c:pt idx="10">
                  <c:v>45467</c:v>
                </c:pt>
                <c:pt idx="11">
                  <c:v>45474</c:v>
                </c:pt>
                <c:pt idx="12">
                  <c:v>45474</c:v>
                </c:pt>
                <c:pt idx="13">
                  <c:v>45474</c:v>
                </c:pt>
                <c:pt idx="14">
                  <c:v>45481</c:v>
                </c:pt>
                <c:pt idx="15">
                  <c:v>45481</c:v>
                </c:pt>
                <c:pt idx="16">
                  <c:v>45481</c:v>
                </c:pt>
                <c:pt idx="17">
                  <c:v>45488</c:v>
                </c:pt>
                <c:pt idx="18">
                  <c:v>45488</c:v>
                </c:pt>
                <c:pt idx="19">
                  <c:v>45488</c:v>
                </c:pt>
                <c:pt idx="20">
                  <c:v>45495</c:v>
                </c:pt>
                <c:pt idx="21">
                  <c:v>45495</c:v>
                </c:pt>
                <c:pt idx="22">
                  <c:v>45495</c:v>
                </c:pt>
                <c:pt idx="23">
                  <c:v>45502</c:v>
                </c:pt>
                <c:pt idx="24">
                  <c:v>45502</c:v>
                </c:pt>
                <c:pt idx="25">
                  <c:v>45502</c:v>
                </c:pt>
                <c:pt idx="26">
                  <c:v>45509</c:v>
                </c:pt>
                <c:pt idx="27">
                  <c:v>45509</c:v>
                </c:pt>
                <c:pt idx="28">
                  <c:v>45509</c:v>
                </c:pt>
                <c:pt idx="29">
                  <c:v>45516</c:v>
                </c:pt>
                <c:pt idx="30">
                  <c:v>45516</c:v>
                </c:pt>
                <c:pt idx="31">
                  <c:v>45516</c:v>
                </c:pt>
                <c:pt idx="32">
                  <c:v>45523</c:v>
                </c:pt>
                <c:pt idx="33">
                  <c:v>45523</c:v>
                </c:pt>
                <c:pt idx="34">
                  <c:v>45523</c:v>
                </c:pt>
                <c:pt idx="35">
                  <c:v>45530</c:v>
                </c:pt>
                <c:pt idx="36">
                  <c:v>45530</c:v>
                </c:pt>
                <c:pt idx="37">
                  <c:v>45530</c:v>
                </c:pt>
                <c:pt idx="38">
                  <c:v>45537</c:v>
                </c:pt>
                <c:pt idx="39">
                  <c:v>45537</c:v>
                </c:pt>
                <c:pt idx="40">
                  <c:v>45537</c:v>
                </c:pt>
                <c:pt idx="41">
                  <c:v>45544</c:v>
                </c:pt>
                <c:pt idx="42">
                  <c:v>45544</c:v>
                </c:pt>
                <c:pt idx="43">
                  <c:v>45544</c:v>
                </c:pt>
                <c:pt idx="44">
                  <c:v>45551</c:v>
                </c:pt>
                <c:pt idx="45">
                  <c:v>45551</c:v>
                </c:pt>
                <c:pt idx="46">
                  <c:v>45551</c:v>
                </c:pt>
                <c:pt idx="47">
                  <c:v>45558</c:v>
                </c:pt>
                <c:pt idx="48">
                  <c:v>45558</c:v>
                </c:pt>
                <c:pt idx="49">
                  <c:v>45558</c:v>
                </c:pt>
                <c:pt idx="50">
                  <c:v>45565</c:v>
                </c:pt>
                <c:pt idx="51">
                  <c:v>45565</c:v>
                </c:pt>
                <c:pt idx="52">
                  <c:v>45565</c:v>
                </c:pt>
                <c:pt idx="53">
                  <c:v>45572</c:v>
                </c:pt>
                <c:pt idx="54">
                  <c:v>45572</c:v>
                </c:pt>
                <c:pt idx="55">
                  <c:v>45572</c:v>
                </c:pt>
                <c:pt idx="56">
                  <c:v>45579</c:v>
                </c:pt>
                <c:pt idx="57">
                  <c:v>45579</c:v>
                </c:pt>
                <c:pt idx="58">
                  <c:v>45579</c:v>
                </c:pt>
                <c:pt idx="59">
                  <c:v>45586</c:v>
                </c:pt>
                <c:pt idx="60">
                  <c:v>45586</c:v>
                </c:pt>
                <c:pt idx="61">
                  <c:v>45586</c:v>
                </c:pt>
                <c:pt idx="62">
                  <c:v>45593</c:v>
                </c:pt>
                <c:pt idx="63">
                  <c:v>45593</c:v>
                </c:pt>
                <c:pt idx="64">
                  <c:v>45593</c:v>
                </c:pt>
                <c:pt idx="65">
                  <c:v>45600</c:v>
                </c:pt>
                <c:pt idx="66">
                  <c:v>45600</c:v>
                </c:pt>
                <c:pt idx="67">
                  <c:v>45600</c:v>
                </c:pt>
                <c:pt idx="68">
                  <c:v>45607</c:v>
                </c:pt>
                <c:pt idx="69">
                  <c:v>45607</c:v>
                </c:pt>
                <c:pt idx="70">
                  <c:v>45607</c:v>
                </c:pt>
                <c:pt idx="71">
                  <c:v>45614</c:v>
                </c:pt>
                <c:pt idx="72">
                  <c:v>45614</c:v>
                </c:pt>
                <c:pt idx="73">
                  <c:v>45614</c:v>
                </c:pt>
                <c:pt idx="74">
                  <c:v>45621</c:v>
                </c:pt>
                <c:pt idx="75">
                  <c:v>45621</c:v>
                </c:pt>
                <c:pt idx="76">
                  <c:v>45621</c:v>
                </c:pt>
                <c:pt idx="77">
                  <c:v>45628</c:v>
                </c:pt>
                <c:pt idx="78">
                  <c:v>45628</c:v>
                </c:pt>
                <c:pt idx="79">
                  <c:v>45628</c:v>
                </c:pt>
                <c:pt idx="80">
                  <c:v>45635</c:v>
                </c:pt>
                <c:pt idx="81">
                  <c:v>45635</c:v>
                </c:pt>
                <c:pt idx="82">
                  <c:v>45635</c:v>
                </c:pt>
                <c:pt idx="83">
                  <c:v>45642</c:v>
                </c:pt>
                <c:pt idx="84">
                  <c:v>45642</c:v>
                </c:pt>
                <c:pt idx="85">
                  <c:v>45642</c:v>
                </c:pt>
                <c:pt idx="86">
                  <c:v>45649</c:v>
                </c:pt>
                <c:pt idx="87">
                  <c:v>45649</c:v>
                </c:pt>
                <c:pt idx="88">
                  <c:v>45649</c:v>
                </c:pt>
                <c:pt idx="89">
                  <c:v>45656</c:v>
                </c:pt>
                <c:pt idx="90">
                  <c:v>45656</c:v>
                </c:pt>
                <c:pt idx="91">
                  <c:v>45656</c:v>
                </c:pt>
                <c:pt idx="92">
                  <c:v>45663</c:v>
                </c:pt>
                <c:pt idx="93">
                  <c:v>45663</c:v>
                </c:pt>
                <c:pt idx="94">
                  <c:v>45663</c:v>
                </c:pt>
                <c:pt idx="95">
                  <c:v>45670</c:v>
                </c:pt>
                <c:pt idx="96">
                  <c:v>45670</c:v>
                </c:pt>
                <c:pt idx="97">
                  <c:v>45670</c:v>
                </c:pt>
                <c:pt idx="98">
                  <c:v>45677</c:v>
                </c:pt>
                <c:pt idx="99">
                  <c:v>45677</c:v>
                </c:pt>
                <c:pt idx="100">
                  <c:v>45677</c:v>
                </c:pt>
                <c:pt idx="101">
                  <c:v>45684</c:v>
                </c:pt>
                <c:pt idx="102">
                  <c:v>45684</c:v>
                </c:pt>
                <c:pt idx="103">
                  <c:v>45684</c:v>
                </c:pt>
                <c:pt idx="104">
                  <c:v>45691</c:v>
                </c:pt>
                <c:pt idx="105">
                  <c:v>45691</c:v>
                </c:pt>
                <c:pt idx="106">
                  <c:v>45691</c:v>
                </c:pt>
                <c:pt idx="107">
                  <c:v>45698</c:v>
                </c:pt>
                <c:pt idx="108">
                  <c:v>45698</c:v>
                </c:pt>
                <c:pt idx="109">
                  <c:v>45698</c:v>
                </c:pt>
                <c:pt idx="110">
                  <c:v>45705</c:v>
                </c:pt>
                <c:pt idx="111">
                  <c:v>45705</c:v>
                </c:pt>
                <c:pt idx="112">
                  <c:v>45705</c:v>
                </c:pt>
                <c:pt idx="113">
                  <c:v>45712</c:v>
                </c:pt>
                <c:pt idx="114">
                  <c:v>45712</c:v>
                </c:pt>
                <c:pt idx="115">
                  <c:v>45712</c:v>
                </c:pt>
                <c:pt idx="116">
                  <c:v>45719</c:v>
                </c:pt>
                <c:pt idx="117">
                  <c:v>45719</c:v>
                </c:pt>
                <c:pt idx="118">
                  <c:v>45719</c:v>
                </c:pt>
                <c:pt idx="119">
                  <c:v>45726</c:v>
                </c:pt>
                <c:pt idx="120">
                  <c:v>45726</c:v>
                </c:pt>
                <c:pt idx="121">
                  <c:v>45726</c:v>
                </c:pt>
                <c:pt idx="122">
                  <c:v>45733</c:v>
                </c:pt>
                <c:pt idx="123">
                  <c:v>45733</c:v>
                </c:pt>
                <c:pt idx="124">
                  <c:v>45733</c:v>
                </c:pt>
                <c:pt idx="125">
                  <c:v>45740</c:v>
                </c:pt>
                <c:pt idx="126">
                  <c:v>45740</c:v>
                </c:pt>
                <c:pt idx="127">
                  <c:v>45740</c:v>
                </c:pt>
                <c:pt idx="128">
                  <c:v>45747</c:v>
                </c:pt>
                <c:pt idx="129">
                  <c:v>45747</c:v>
                </c:pt>
                <c:pt idx="130">
                  <c:v>45747</c:v>
                </c:pt>
                <c:pt idx="131">
                  <c:v>45754</c:v>
                </c:pt>
                <c:pt idx="132">
                  <c:v>45754</c:v>
                </c:pt>
                <c:pt idx="133">
                  <c:v>45754</c:v>
                </c:pt>
                <c:pt idx="134">
                  <c:v>45761</c:v>
                </c:pt>
                <c:pt idx="135">
                  <c:v>45761</c:v>
                </c:pt>
                <c:pt idx="136">
                  <c:v>45761</c:v>
                </c:pt>
                <c:pt idx="137">
                  <c:v>45768</c:v>
                </c:pt>
                <c:pt idx="138">
                  <c:v>45768</c:v>
                </c:pt>
                <c:pt idx="139">
                  <c:v>45768</c:v>
                </c:pt>
                <c:pt idx="140">
                  <c:v>45775</c:v>
                </c:pt>
                <c:pt idx="141">
                  <c:v>45775</c:v>
                </c:pt>
                <c:pt idx="142">
                  <c:v>45775</c:v>
                </c:pt>
                <c:pt idx="143">
                  <c:v>45782</c:v>
                </c:pt>
                <c:pt idx="144">
                  <c:v>45782</c:v>
                </c:pt>
                <c:pt idx="145">
                  <c:v>45782</c:v>
                </c:pt>
                <c:pt idx="146">
                  <c:v>45789</c:v>
                </c:pt>
                <c:pt idx="147">
                  <c:v>45789</c:v>
                </c:pt>
                <c:pt idx="148">
                  <c:v>45789</c:v>
                </c:pt>
                <c:pt idx="149">
                  <c:v>45796</c:v>
                </c:pt>
                <c:pt idx="150">
                  <c:v>45796</c:v>
                </c:pt>
                <c:pt idx="151">
                  <c:v>45796</c:v>
                </c:pt>
                <c:pt idx="152">
                  <c:v>45803</c:v>
                </c:pt>
                <c:pt idx="153">
                  <c:v>45803</c:v>
                </c:pt>
                <c:pt idx="154">
                  <c:v>45803</c:v>
                </c:pt>
                <c:pt idx="155">
                  <c:v>45810</c:v>
                </c:pt>
                <c:pt idx="156">
                  <c:v>45810</c:v>
                </c:pt>
                <c:pt idx="157">
                  <c:v>45810</c:v>
                </c:pt>
                <c:pt idx="158">
                  <c:v>45817</c:v>
                </c:pt>
                <c:pt idx="159">
                  <c:v>45817</c:v>
                </c:pt>
                <c:pt idx="160">
                  <c:v>45817</c:v>
                </c:pt>
                <c:pt idx="161">
                  <c:v>45824</c:v>
                </c:pt>
                <c:pt idx="162">
                  <c:v>45824</c:v>
                </c:pt>
                <c:pt idx="163">
                  <c:v>45824</c:v>
                </c:pt>
                <c:pt idx="164">
                  <c:v>45831</c:v>
                </c:pt>
                <c:pt idx="165">
                  <c:v>45831</c:v>
                </c:pt>
                <c:pt idx="166">
                  <c:v>45831</c:v>
                </c:pt>
                <c:pt idx="167">
                  <c:v>45838</c:v>
                </c:pt>
                <c:pt idx="168">
                  <c:v>45838</c:v>
                </c:pt>
                <c:pt idx="169">
                  <c:v>45838</c:v>
                </c:pt>
                <c:pt idx="170">
                  <c:v>45845</c:v>
                </c:pt>
                <c:pt idx="171">
                  <c:v>45845</c:v>
                </c:pt>
                <c:pt idx="172">
                  <c:v>45845</c:v>
                </c:pt>
                <c:pt idx="173">
                  <c:v>45852</c:v>
                </c:pt>
                <c:pt idx="174">
                  <c:v>45852</c:v>
                </c:pt>
                <c:pt idx="175">
                  <c:v>45852</c:v>
                </c:pt>
                <c:pt idx="176">
                  <c:v>45859</c:v>
                </c:pt>
                <c:pt idx="177">
                  <c:v>45859</c:v>
                </c:pt>
                <c:pt idx="178">
                  <c:v>45859</c:v>
                </c:pt>
                <c:pt idx="179">
                  <c:v>45866</c:v>
                </c:pt>
                <c:pt idx="180">
                  <c:v>45866</c:v>
                </c:pt>
                <c:pt idx="181">
                  <c:v>45866</c:v>
                </c:pt>
                <c:pt idx="182">
                  <c:v>45873</c:v>
                </c:pt>
                <c:pt idx="183">
                  <c:v>45873</c:v>
                </c:pt>
                <c:pt idx="184">
                  <c:v>45873</c:v>
                </c:pt>
                <c:pt idx="185">
                  <c:v>45880</c:v>
                </c:pt>
                <c:pt idx="186">
                  <c:v>45880</c:v>
                </c:pt>
                <c:pt idx="187">
                  <c:v>45880</c:v>
                </c:pt>
                <c:pt idx="188">
                  <c:v>45887</c:v>
                </c:pt>
                <c:pt idx="189">
                  <c:v>45887</c:v>
                </c:pt>
                <c:pt idx="190">
                  <c:v>45887</c:v>
                </c:pt>
                <c:pt idx="191">
                  <c:v>45894</c:v>
                </c:pt>
                <c:pt idx="192">
                  <c:v>45894</c:v>
                </c:pt>
                <c:pt idx="193">
                  <c:v>45894</c:v>
                </c:pt>
                <c:pt idx="194">
                  <c:v>45901</c:v>
                </c:pt>
                <c:pt idx="195">
                  <c:v>45901</c:v>
                </c:pt>
                <c:pt idx="196">
                  <c:v>45901</c:v>
                </c:pt>
                <c:pt idx="197">
                  <c:v>45908</c:v>
                </c:pt>
                <c:pt idx="198">
                  <c:v>45908</c:v>
                </c:pt>
              </c:numCache>
            </c:numRef>
          </c:cat>
          <c:val>
            <c:numRef>
              <c:f>'Engagement Summary'!$H$3:$H$201</c:f>
              <c:numCache>
                <c:formatCode>General</c:formatCode>
                <c:ptCount val="199"/>
                <c:pt idx="0">
                  <c:v>909</c:v>
                </c:pt>
                <c:pt idx="1">
                  <c:v>1176</c:v>
                </c:pt>
                <c:pt idx="2">
                  <c:v>928</c:v>
                </c:pt>
                <c:pt idx="3">
                  <c:v>1397</c:v>
                </c:pt>
                <c:pt idx="4">
                  <c:v>452</c:v>
                </c:pt>
                <c:pt idx="5">
                  <c:v>590</c:v>
                </c:pt>
                <c:pt idx="6">
                  <c:v>1283</c:v>
                </c:pt>
                <c:pt idx="7">
                  <c:v>1302</c:v>
                </c:pt>
                <c:pt idx="8">
                  <c:v>612</c:v>
                </c:pt>
                <c:pt idx="9">
                  <c:v>1121</c:v>
                </c:pt>
                <c:pt idx="10">
                  <c:v>700</c:v>
                </c:pt>
                <c:pt idx="11">
                  <c:v>1117</c:v>
                </c:pt>
                <c:pt idx="12">
                  <c:v>714</c:v>
                </c:pt>
                <c:pt idx="13">
                  <c:v>595</c:v>
                </c:pt>
                <c:pt idx="14">
                  <c:v>667</c:v>
                </c:pt>
                <c:pt idx="15">
                  <c:v>1371</c:v>
                </c:pt>
                <c:pt idx="16">
                  <c:v>1117</c:v>
                </c:pt>
                <c:pt idx="17">
                  <c:v>359</c:v>
                </c:pt>
                <c:pt idx="18">
                  <c:v>1098</c:v>
                </c:pt>
                <c:pt idx="19">
                  <c:v>912</c:v>
                </c:pt>
                <c:pt idx="20">
                  <c:v>1125</c:v>
                </c:pt>
                <c:pt idx="21">
                  <c:v>792</c:v>
                </c:pt>
                <c:pt idx="22">
                  <c:v>364</c:v>
                </c:pt>
                <c:pt idx="23">
                  <c:v>849</c:v>
                </c:pt>
                <c:pt idx="24">
                  <c:v>869</c:v>
                </c:pt>
                <c:pt idx="25">
                  <c:v>414</c:v>
                </c:pt>
                <c:pt idx="26">
                  <c:v>1353</c:v>
                </c:pt>
                <c:pt idx="27">
                  <c:v>582</c:v>
                </c:pt>
                <c:pt idx="28">
                  <c:v>758</c:v>
                </c:pt>
                <c:pt idx="29">
                  <c:v>977</c:v>
                </c:pt>
                <c:pt idx="30">
                  <c:v>1191</c:v>
                </c:pt>
                <c:pt idx="31">
                  <c:v>904</c:v>
                </c:pt>
                <c:pt idx="32">
                  <c:v>1009</c:v>
                </c:pt>
                <c:pt idx="33">
                  <c:v>909</c:v>
                </c:pt>
                <c:pt idx="34">
                  <c:v>382</c:v>
                </c:pt>
                <c:pt idx="35">
                  <c:v>1166</c:v>
                </c:pt>
                <c:pt idx="36">
                  <c:v>262</c:v>
                </c:pt>
                <c:pt idx="37">
                  <c:v>1022</c:v>
                </c:pt>
                <c:pt idx="38">
                  <c:v>515</c:v>
                </c:pt>
                <c:pt idx="39">
                  <c:v>956</c:v>
                </c:pt>
                <c:pt idx="40">
                  <c:v>1031</c:v>
                </c:pt>
                <c:pt idx="41">
                  <c:v>725</c:v>
                </c:pt>
                <c:pt idx="42">
                  <c:v>637</c:v>
                </c:pt>
                <c:pt idx="43">
                  <c:v>1268</c:v>
                </c:pt>
                <c:pt idx="44">
                  <c:v>1291</c:v>
                </c:pt>
                <c:pt idx="45">
                  <c:v>400</c:v>
                </c:pt>
                <c:pt idx="46">
                  <c:v>471</c:v>
                </c:pt>
                <c:pt idx="47">
                  <c:v>474</c:v>
                </c:pt>
                <c:pt idx="48">
                  <c:v>1198</c:v>
                </c:pt>
                <c:pt idx="49">
                  <c:v>1113</c:v>
                </c:pt>
                <c:pt idx="50">
                  <c:v>1132</c:v>
                </c:pt>
                <c:pt idx="51">
                  <c:v>844</c:v>
                </c:pt>
                <c:pt idx="52">
                  <c:v>1175</c:v>
                </c:pt>
                <c:pt idx="53">
                  <c:v>559</c:v>
                </c:pt>
                <c:pt idx="54">
                  <c:v>554</c:v>
                </c:pt>
                <c:pt idx="55">
                  <c:v>1225</c:v>
                </c:pt>
                <c:pt idx="56">
                  <c:v>892</c:v>
                </c:pt>
                <c:pt idx="57">
                  <c:v>536</c:v>
                </c:pt>
                <c:pt idx="58">
                  <c:v>1242</c:v>
                </c:pt>
                <c:pt idx="59">
                  <c:v>1082</c:v>
                </c:pt>
                <c:pt idx="60">
                  <c:v>762</c:v>
                </c:pt>
                <c:pt idx="61">
                  <c:v>948</c:v>
                </c:pt>
                <c:pt idx="62">
                  <c:v>1174</c:v>
                </c:pt>
                <c:pt idx="63">
                  <c:v>464</c:v>
                </c:pt>
                <c:pt idx="64">
                  <c:v>543</c:v>
                </c:pt>
                <c:pt idx="65">
                  <c:v>1202</c:v>
                </c:pt>
                <c:pt idx="66">
                  <c:v>1390</c:v>
                </c:pt>
                <c:pt idx="67">
                  <c:v>984</c:v>
                </c:pt>
                <c:pt idx="68">
                  <c:v>1204</c:v>
                </c:pt>
                <c:pt idx="69">
                  <c:v>532</c:v>
                </c:pt>
                <c:pt idx="70">
                  <c:v>1058</c:v>
                </c:pt>
                <c:pt idx="71">
                  <c:v>577</c:v>
                </c:pt>
                <c:pt idx="72">
                  <c:v>682</c:v>
                </c:pt>
                <c:pt idx="73">
                  <c:v>676</c:v>
                </c:pt>
                <c:pt idx="74">
                  <c:v>450</c:v>
                </c:pt>
                <c:pt idx="75">
                  <c:v>683</c:v>
                </c:pt>
                <c:pt idx="76">
                  <c:v>1154</c:v>
                </c:pt>
                <c:pt idx="77">
                  <c:v>808</c:v>
                </c:pt>
                <c:pt idx="78">
                  <c:v>871</c:v>
                </c:pt>
                <c:pt idx="79">
                  <c:v>704</c:v>
                </c:pt>
                <c:pt idx="80">
                  <c:v>611</c:v>
                </c:pt>
                <c:pt idx="81">
                  <c:v>405</c:v>
                </c:pt>
                <c:pt idx="82">
                  <c:v>382</c:v>
                </c:pt>
                <c:pt idx="83">
                  <c:v>1099</c:v>
                </c:pt>
                <c:pt idx="84">
                  <c:v>477</c:v>
                </c:pt>
                <c:pt idx="85">
                  <c:v>1117</c:v>
                </c:pt>
                <c:pt idx="86">
                  <c:v>567</c:v>
                </c:pt>
                <c:pt idx="87">
                  <c:v>1133</c:v>
                </c:pt>
                <c:pt idx="88">
                  <c:v>850</c:v>
                </c:pt>
                <c:pt idx="89">
                  <c:v>413</c:v>
                </c:pt>
                <c:pt idx="90">
                  <c:v>1387</c:v>
                </c:pt>
                <c:pt idx="91">
                  <c:v>537</c:v>
                </c:pt>
                <c:pt idx="92">
                  <c:v>443</c:v>
                </c:pt>
                <c:pt idx="93">
                  <c:v>1283</c:v>
                </c:pt>
                <c:pt idx="94">
                  <c:v>725</c:v>
                </c:pt>
                <c:pt idx="95">
                  <c:v>1354</c:v>
                </c:pt>
                <c:pt idx="96">
                  <c:v>520</c:v>
                </c:pt>
                <c:pt idx="97">
                  <c:v>467</c:v>
                </c:pt>
                <c:pt idx="98">
                  <c:v>844</c:v>
                </c:pt>
                <c:pt idx="99">
                  <c:v>442</c:v>
                </c:pt>
                <c:pt idx="100">
                  <c:v>546</c:v>
                </c:pt>
                <c:pt idx="101">
                  <c:v>341</c:v>
                </c:pt>
                <c:pt idx="102">
                  <c:v>869</c:v>
                </c:pt>
                <c:pt idx="103">
                  <c:v>718</c:v>
                </c:pt>
                <c:pt idx="104">
                  <c:v>735</c:v>
                </c:pt>
                <c:pt idx="105">
                  <c:v>523</c:v>
                </c:pt>
                <c:pt idx="106">
                  <c:v>422</c:v>
                </c:pt>
                <c:pt idx="107">
                  <c:v>915</c:v>
                </c:pt>
                <c:pt idx="108">
                  <c:v>1108</c:v>
                </c:pt>
                <c:pt idx="109">
                  <c:v>338</c:v>
                </c:pt>
                <c:pt idx="110">
                  <c:v>356</c:v>
                </c:pt>
                <c:pt idx="111">
                  <c:v>463</c:v>
                </c:pt>
                <c:pt idx="112">
                  <c:v>724</c:v>
                </c:pt>
                <c:pt idx="113">
                  <c:v>378</c:v>
                </c:pt>
                <c:pt idx="114">
                  <c:v>636</c:v>
                </c:pt>
                <c:pt idx="115">
                  <c:v>699</c:v>
                </c:pt>
                <c:pt idx="116">
                  <c:v>1279</c:v>
                </c:pt>
                <c:pt idx="117">
                  <c:v>1006</c:v>
                </c:pt>
                <c:pt idx="118">
                  <c:v>478</c:v>
                </c:pt>
                <c:pt idx="119">
                  <c:v>545</c:v>
                </c:pt>
                <c:pt idx="120">
                  <c:v>1005</c:v>
                </c:pt>
                <c:pt idx="121">
                  <c:v>765</c:v>
                </c:pt>
                <c:pt idx="122">
                  <c:v>496</c:v>
                </c:pt>
                <c:pt idx="123">
                  <c:v>1128</c:v>
                </c:pt>
                <c:pt idx="124">
                  <c:v>564</c:v>
                </c:pt>
                <c:pt idx="125">
                  <c:v>565</c:v>
                </c:pt>
                <c:pt idx="126">
                  <c:v>813</c:v>
                </c:pt>
                <c:pt idx="127">
                  <c:v>1301</c:v>
                </c:pt>
                <c:pt idx="128">
                  <c:v>436</c:v>
                </c:pt>
                <c:pt idx="129">
                  <c:v>978</c:v>
                </c:pt>
                <c:pt idx="130">
                  <c:v>1367</c:v>
                </c:pt>
                <c:pt idx="131">
                  <c:v>1337</c:v>
                </c:pt>
                <c:pt idx="132">
                  <c:v>1014</c:v>
                </c:pt>
                <c:pt idx="133">
                  <c:v>940</c:v>
                </c:pt>
                <c:pt idx="134">
                  <c:v>1191</c:v>
                </c:pt>
                <c:pt idx="135">
                  <c:v>1335</c:v>
                </c:pt>
                <c:pt idx="136">
                  <c:v>690</c:v>
                </c:pt>
                <c:pt idx="137">
                  <c:v>353</c:v>
                </c:pt>
                <c:pt idx="138">
                  <c:v>486</c:v>
                </c:pt>
                <c:pt idx="139">
                  <c:v>889</c:v>
                </c:pt>
                <c:pt idx="140">
                  <c:v>983</c:v>
                </c:pt>
                <c:pt idx="141">
                  <c:v>581</c:v>
                </c:pt>
                <c:pt idx="142">
                  <c:v>814</c:v>
                </c:pt>
                <c:pt idx="143">
                  <c:v>919</c:v>
                </c:pt>
                <c:pt idx="144">
                  <c:v>676</c:v>
                </c:pt>
                <c:pt idx="145">
                  <c:v>459</c:v>
                </c:pt>
                <c:pt idx="146">
                  <c:v>447</c:v>
                </c:pt>
                <c:pt idx="147">
                  <c:v>377</c:v>
                </c:pt>
                <c:pt idx="148">
                  <c:v>576</c:v>
                </c:pt>
                <c:pt idx="149">
                  <c:v>1281</c:v>
                </c:pt>
                <c:pt idx="150">
                  <c:v>932</c:v>
                </c:pt>
                <c:pt idx="151">
                  <c:v>1356</c:v>
                </c:pt>
                <c:pt idx="152">
                  <c:v>1041</c:v>
                </c:pt>
                <c:pt idx="153">
                  <c:v>1184</c:v>
                </c:pt>
                <c:pt idx="154">
                  <c:v>684</c:v>
                </c:pt>
                <c:pt idx="155">
                  <c:v>354</c:v>
                </c:pt>
                <c:pt idx="156">
                  <c:v>1126</c:v>
                </c:pt>
                <c:pt idx="157">
                  <c:v>569</c:v>
                </c:pt>
                <c:pt idx="158">
                  <c:v>730</c:v>
                </c:pt>
                <c:pt idx="159">
                  <c:v>578</c:v>
                </c:pt>
                <c:pt idx="160">
                  <c:v>935</c:v>
                </c:pt>
                <c:pt idx="161">
                  <c:v>994</c:v>
                </c:pt>
                <c:pt idx="162">
                  <c:v>325</c:v>
                </c:pt>
                <c:pt idx="163">
                  <c:v>698</c:v>
                </c:pt>
                <c:pt idx="164">
                  <c:v>320</c:v>
                </c:pt>
                <c:pt idx="165">
                  <c:v>544</c:v>
                </c:pt>
                <c:pt idx="166">
                  <c:v>520</c:v>
                </c:pt>
                <c:pt idx="167">
                  <c:v>485</c:v>
                </c:pt>
                <c:pt idx="168">
                  <c:v>1234</c:v>
                </c:pt>
                <c:pt idx="169">
                  <c:v>596</c:v>
                </c:pt>
                <c:pt idx="170">
                  <c:v>831</c:v>
                </c:pt>
                <c:pt idx="171">
                  <c:v>1033</c:v>
                </c:pt>
                <c:pt idx="172">
                  <c:v>805</c:v>
                </c:pt>
                <c:pt idx="173">
                  <c:v>952</c:v>
                </c:pt>
                <c:pt idx="174">
                  <c:v>1274</c:v>
                </c:pt>
                <c:pt idx="175">
                  <c:v>428</c:v>
                </c:pt>
                <c:pt idx="176">
                  <c:v>951</c:v>
                </c:pt>
                <c:pt idx="177">
                  <c:v>604</c:v>
                </c:pt>
                <c:pt idx="178">
                  <c:v>1139</c:v>
                </c:pt>
                <c:pt idx="179">
                  <c:v>567</c:v>
                </c:pt>
                <c:pt idx="180">
                  <c:v>1282</c:v>
                </c:pt>
                <c:pt idx="181">
                  <c:v>1387</c:v>
                </c:pt>
                <c:pt idx="182">
                  <c:v>523</c:v>
                </c:pt>
                <c:pt idx="183">
                  <c:v>667</c:v>
                </c:pt>
                <c:pt idx="184">
                  <c:v>499</c:v>
                </c:pt>
                <c:pt idx="185">
                  <c:v>896</c:v>
                </c:pt>
                <c:pt idx="186">
                  <c:v>702</c:v>
                </c:pt>
                <c:pt idx="187">
                  <c:v>749</c:v>
                </c:pt>
                <c:pt idx="188">
                  <c:v>333</c:v>
                </c:pt>
                <c:pt idx="189">
                  <c:v>647</c:v>
                </c:pt>
                <c:pt idx="190">
                  <c:v>839</c:v>
                </c:pt>
                <c:pt idx="191">
                  <c:v>1168</c:v>
                </c:pt>
                <c:pt idx="192">
                  <c:v>960</c:v>
                </c:pt>
                <c:pt idx="193">
                  <c:v>518</c:v>
                </c:pt>
                <c:pt idx="194">
                  <c:v>302</c:v>
                </c:pt>
                <c:pt idx="195">
                  <c:v>872</c:v>
                </c:pt>
                <c:pt idx="196">
                  <c:v>250</c:v>
                </c:pt>
                <c:pt idx="197">
                  <c:v>820</c:v>
                </c:pt>
                <c:pt idx="198">
                  <c:v>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E6-41C8-A47B-F5EE756E3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1249840"/>
        <c:axId val="1291237360"/>
      </c:lineChart>
      <c:dateAx>
        <c:axId val="1291249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Time Period Of Observation</a:t>
                </a:r>
              </a:p>
            </c:rich>
          </c:tx>
          <c:layout>
            <c:manualLayout>
              <c:xMode val="edge"/>
              <c:yMode val="edge"/>
              <c:x val="0.522620655414885"/>
              <c:y val="0.892896565091164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237360"/>
        <c:crosses val="autoZero"/>
        <c:auto val="1"/>
        <c:lblOffset val="100"/>
        <c:baseTimeUnit val="days"/>
      </c:dateAx>
      <c:valAx>
        <c:axId val="129123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Fallower Growth And Ad Spend</a:t>
                </a:r>
              </a:p>
            </c:rich>
          </c:tx>
          <c:overlay val="0"/>
          <c:spPr>
            <a:noFill/>
            <a:ln w="15875">
              <a:solidFill>
                <a:schemeClr val="tx1">
                  <a:lumMod val="95000"/>
                  <a:lumOff val="5000"/>
                </a:schemeClr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24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76199</xdr:rowOff>
    </xdr:from>
    <xdr:to>
      <xdr:col>10</xdr:col>
      <xdr:colOff>323850</xdr:colOff>
      <xdr:row>24</xdr:row>
      <xdr:rowOff>47624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26B32E-8AFF-4988-BD4A-765D1AC57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66675</xdr:rowOff>
    </xdr:from>
    <xdr:to>
      <xdr:col>16</xdr:col>
      <xdr:colOff>133350</xdr:colOff>
      <xdr:row>25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648983-7FEB-4FFA-9A88-EB4BA419E2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333374</xdr:colOff>
      <xdr:row>18</xdr:row>
      <xdr:rowOff>133349</xdr:rowOff>
    </xdr:from>
    <xdr:to>
      <xdr:col>15</xdr:col>
      <xdr:colOff>152399</xdr:colOff>
      <xdr:row>49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D7A273-3D9D-42FA-AF70-47700595E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diAcerAspireE1-531" refreshedDate="45920.592735763887" createdVersion="8" refreshedVersion="8" minRefreshableVersion="3" recordCount="300" xr:uid="{1AF246FE-60FD-4F4C-973F-944D02DE41EF}">
  <cacheSource type="worksheet">
    <worksheetSource name="Posts"/>
  </cacheSource>
  <cacheFields count="33">
    <cacheField name="Post ID" numFmtId="0">
      <sharedItems count="300">
        <s v="SP061"/>
        <s v="SP126"/>
        <s v="SP281"/>
        <s v="SP057"/>
        <s v="SP130"/>
        <s v="SP071"/>
        <s v="SP202"/>
        <s v="SP299"/>
        <s v="SP079"/>
        <s v="SP195"/>
        <s v="SP237"/>
        <s v="SP226"/>
        <s v="SP147"/>
        <s v="SP075"/>
        <s v="SP097"/>
        <s v="SP133"/>
        <s v="SP127"/>
        <s v="SP225"/>
        <s v="SP234"/>
        <s v="SP018"/>
        <s v="SP300"/>
        <s v="SP160"/>
        <s v="SP219"/>
        <s v="SP273"/>
        <s v="SP046"/>
        <s v="SP103"/>
        <s v="SP117"/>
        <s v="SP275"/>
        <s v="SP282"/>
        <s v="SP128"/>
        <s v="SP191"/>
        <s v="SP122"/>
        <s v="SP229"/>
        <s v="SP093"/>
        <s v="SP028"/>
        <s v="SP011"/>
        <s v="SP249"/>
        <s v="SP047"/>
        <s v="SP098"/>
        <s v="SP096"/>
        <s v="SP268"/>
        <s v="SP200"/>
        <s v="SP182"/>
        <s v="SP181"/>
        <s v="SP095"/>
        <s v="SP092"/>
        <s v="SP263"/>
        <s v="SP068"/>
        <s v="SP231"/>
        <s v="SP067"/>
        <s v="SP255"/>
        <s v="SP168"/>
        <s v="SP207"/>
        <s v="SP137"/>
        <s v="SP166"/>
        <s v="SP005"/>
        <s v="SP159"/>
        <s v="SP211"/>
        <s v="SP060"/>
        <s v="SP172"/>
        <s v="SP041"/>
        <s v="SP087"/>
        <s v="SP155"/>
        <s v="SP286"/>
        <s v="SP104"/>
        <s v="SP036"/>
        <s v="SP015"/>
        <s v="SP032"/>
        <s v="SP055"/>
        <s v="SP165"/>
        <s v="SP008"/>
        <s v="SP124"/>
        <s v="SP194"/>
        <s v="SP123"/>
        <s v="SP051"/>
        <s v="SP012"/>
        <s v="SP118"/>
        <s v="SP074"/>
        <s v="SP065"/>
        <s v="SP266"/>
        <s v="SP150"/>
        <s v="SP228"/>
        <s v="SP173"/>
        <s v="SP193"/>
        <s v="SP257"/>
        <s v="SP023"/>
        <s v="SP017"/>
        <s v="SP006"/>
        <s v="SP248"/>
        <s v="SP019"/>
        <s v="SP186"/>
        <s v="SP143"/>
        <s v="SP223"/>
        <s v="SP269"/>
        <s v="SP287"/>
        <s v="SP110"/>
        <s v="SP291"/>
        <s v="SP176"/>
        <s v="SP020"/>
        <s v="SP063"/>
        <s v="SP251"/>
        <s v="SP246"/>
        <s v="SP256"/>
        <s v="SP199"/>
        <s v="SP184"/>
        <s v="SP076"/>
        <s v="SP045"/>
        <s v="SP114"/>
        <s v="SP058"/>
        <s v="SP209"/>
        <s v="SP111"/>
        <s v="SP100"/>
        <s v="SP090"/>
        <s v="SP183"/>
        <s v="SP084"/>
        <s v="SP253"/>
        <s v="SP163"/>
        <s v="SP288"/>
        <s v="SP059"/>
        <s v="SP151"/>
        <s v="SP053"/>
        <s v="SP290"/>
        <s v="SP085"/>
        <s v="SP206"/>
        <s v="SP082"/>
        <s v="SP283"/>
        <s v="SP140"/>
        <s v="SP240"/>
        <s v="SP049"/>
        <s v="SP171"/>
        <s v="SP156"/>
        <s v="SP052"/>
        <s v="SP044"/>
        <s v="SP108"/>
        <s v="SP235"/>
        <s v="SP113"/>
        <s v="SP038"/>
        <s v="SP201"/>
        <s v="SP241"/>
        <s v="SP192"/>
        <s v="SP247"/>
        <s v="SP105"/>
        <s v="SP152"/>
        <s v="SP132"/>
        <s v="SP280"/>
        <s v="SP141"/>
        <s v="SP135"/>
        <s v="SP203"/>
        <s v="SP274"/>
        <s v="SP014"/>
        <s v="SP033"/>
        <s v="SP214"/>
        <s v="SP025"/>
        <s v="SP072"/>
        <s v="SP101"/>
        <s v="SP218"/>
        <s v="SP099"/>
        <s v="SP024"/>
        <s v="SP233"/>
        <s v="SP284"/>
        <s v="SP252"/>
        <s v="SP102"/>
        <s v="SP062"/>
        <s v="SP292"/>
        <s v="SP125"/>
        <s v="SP272"/>
        <s v="SP021"/>
        <s v="SP267"/>
        <s v="SP177"/>
        <s v="SP270"/>
        <s v="SP094"/>
        <s v="SP162"/>
        <s v="SP297"/>
        <s v="SP261"/>
        <s v="SP136"/>
        <s v="SP179"/>
        <s v="SP154"/>
        <s v="SP109"/>
        <s v="SP170"/>
        <s v="SP039"/>
        <s v="SP138"/>
        <s v="SP027"/>
        <s v="SP262"/>
        <s v="SP278"/>
        <s v="SP003"/>
        <s v="SP004"/>
        <s v="SP010"/>
        <s v="SP089"/>
        <s v="SP197"/>
        <s v="SP224"/>
        <s v="SP220"/>
        <s v="SP243"/>
        <s v="SP239"/>
        <s v="SP178"/>
        <s v="SP069"/>
        <s v="SP007"/>
        <s v="SP236"/>
        <s v="SP142"/>
        <s v="SP294"/>
        <s v="SP016"/>
        <s v="SP204"/>
        <s v="SP031"/>
        <s v="SP083"/>
        <s v="SP169"/>
        <s v="SP260"/>
        <s v="SP070"/>
        <s v="SP245"/>
        <s v="SP034"/>
        <s v="SP196"/>
        <s v="SP216"/>
        <s v="SP107"/>
        <s v="SP215"/>
        <s v="SP190"/>
        <s v="SP120"/>
        <s v="SP279"/>
        <s v="SP259"/>
        <s v="SP106"/>
        <s v="SP078"/>
        <s v="SP289"/>
        <s v="SP064"/>
        <s v="SP042"/>
        <s v="SP167"/>
        <s v="SP285"/>
        <s v="SP002"/>
        <s v="SP198"/>
        <s v="SP254"/>
        <s v="SP277"/>
        <s v="SP048"/>
        <s v="SP271"/>
        <s v="SP148"/>
        <s v="SP144"/>
        <s v="SP043"/>
        <s v="SP112"/>
        <s v="SP088"/>
        <s v="SP056"/>
        <s v="SP189"/>
        <s v="SP157"/>
        <s v="SP276"/>
        <s v="SP054"/>
        <s v="SP081"/>
        <s v="SP232"/>
        <s v="SP295"/>
        <s v="SP139"/>
        <s v="SP029"/>
        <s v="SP296"/>
        <s v="SP131"/>
        <s v="SP258"/>
        <s v="SP158"/>
        <s v="SP227"/>
        <s v="SP175"/>
        <s v="SP174"/>
        <s v="SP208"/>
        <s v="SP242"/>
        <s v="SP149"/>
        <s v="SP115"/>
        <s v="SP066"/>
        <s v="SP205"/>
        <s v="SP293"/>
        <s v="SP185"/>
        <s v="SP050"/>
        <s v="SP030"/>
        <s v="SP091"/>
        <s v="SP180"/>
        <s v="SP121"/>
        <s v="SP210"/>
        <s v="SP001"/>
        <s v="SP116"/>
        <s v="SP073"/>
        <s v="SP035"/>
        <s v="SP221"/>
        <s v="SP086"/>
        <s v="SP230"/>
        <s v="SP026"/>
        <s v="SP250"/>
        <s v="SP134"/>
        <s v="SP187"/>
        <s v="SP146"/>
        <s v="SP161"/>
        <s v="SP037"/>
        <s v="SP145"/>
        <s v="SP077"/>
        <s v="SP119"/>
        <s v="SP264"/>
        <s v="SP217"/>
        <s v="SP188"/>
        <s v="SP244"/>
        <s v="SP040"/>
        <s v="SP153"/>
        <s v="SP022"/>
        <s v="SP238"/>
        <s v="SP009"/>
        <s v="SP265"/>
        <s v="SP080"/>
        <s v="SP013"/>
        <s v="SP212"/>
        <s v="SP222"/>
        <s v="SP213"/>
        <s v="SP164"/>
        <s v="SP298"/>
        <s v="SP129"/>
      </sharedItems>
    </cacheField>
    <cacheField name="Platform" numFmtId="0">
      <sharedItems count="3">
        <s v="YouTube"/>
        <s v="Twitter"/>
        <s v="Instagram"/>
      </sharedItems>
    </cacheField>
    <cacheField name="Date" numFmtId="14">
      <sharedItems containsSemiMixedTypes="0" containsNonDate="0" containsDate="1" containsString="0" minDate="2024-01-01T00:00:00" maxDate="2025-07-02T00:00:00" count="235">
        <d v="2024-01-01T00:00:00"/>
        <d v="2024-01-04T00:00:00"/>
        <d v="2024-01-07T00:00:00"/>
        <d v="2024-01-08T00:00:00"/>
        <d v="2024-01-10T00:00:00"/>
        <d v="2024-01-11T00:00:00"/>
        <d v="2024-01-12T00:00:00"/>
        <d v="2024-01-13T00:00:00"/>
        <d v="2024-01-14T00:00:00"/>
        <d v="2024-01-17T00:00:00"/>
        <d v="2024-01-21T00:00:00"/>
        <d v="2024-01-22T00:00:00"/>
        <d v="2024-01-26T00:00:00"/>
        <d v="2024-01-27T00:00:00"/>
        <d v="2024-01-28T00:00:00"/>
        <d v="2024-02-01T00:00:00"/>
        <d v="2024-02-02T00:00:00"/>
        <d v="2024-02-03T00:00:00"/>
        <d v="2024-02-07T00:00:00"/>
        <d v="2024-02-08T00:00:00"/>
        <d v="2024-02-10T00:00:00"/>
        <d v="2024-02-12T00:00:00"/>
        <d v="2024-02-14T00:00:00"/>
        <d v="2024-02-18T00:00:00"/>
        <d v="2024-02-19T00:00:00"/>
        <d v="2024-02-21T00:00:00"/>
        <d v="2024-02-22T00:00:00"/>
        <d v="2024-02-24T00:00:00"/>
        <d v="2024-02-29T00:00:00"/>
        <d v="2024-03-05T00:00:00"/>
        <d v="2024-03-06T00:00:00"/>
        <d v="2024-03-14T00:00:00"/>
        <d v="2024-03-15T00:00:00"/>
        <d v="2024-03-16T00:00:00"/>
        <d v="2024-03-17T00:00:00"/>
        <d v="2024-03-18T00:00:00"/>
        <d v="2024-03-19T00:00:00"/>
        <d v="2024-03-22T00:00:00"/>
        <d v="2024-03-25T00:00:00"/>
        <d v="2024-03-27T00:00:00"/>
        <d v="2024-03-28T00:00:00"/>
        <d v="2024-04-02T00:00:00"/>
        <d v="2024-04-03T00:00:00"/>
        <d v="2024-04-05T00:00:00"/>
        <d v="2024-04-06T00:00:00"/>
        <d v="2024-04-12T00:00:00"/>
        <d v="2024-04-14T00:00:00"/>
        <d v="2024-04-16T00:00:00"/>
        <d v="2024-04-18T00:00:00"/>
        <d v="2024-04-19T00:00:00"/>
        <d v="2024-04-23T00:00:00"/>
        <d v="2024-04-25T00:00:00"/>
        <d v="2024-05-01T00:00:00"/>
        <d v="2024-05-04T00:00:00"/>
        <d v="2024-05-06T00:00:00"/>
        <d v="2024-05-07T00:00:00"/>
        <d v="2024-05-08T00:00:00"/>
        <d v="2024-05-09T00:00:00"/>
        <d v="2024-05-10T00:00:00"/>
        <d v="2024-05-12T00:00:00"/>
        <d v="2024-05-13T00:00:00"/>
        <d v="2024-05-14T00:00:00"/>
        <d v="2024-05-16T00:00:00"/>
        <d v="2024-05-19T00:00:00"/>
        <d v="2024-05-26T00:00:00"/>
        <d v="2024-05-30T00:00:00"/>
        <d v="2024-06-04T00:00:00"/>
        <d v="2024-06-08T00:00:00"/>
        <d v="2024-06-09T00:00:00"/>
        <d v="2024-06-10T00:00:00"/>
        <d v="2024-06-13T00:00:00"/>
        <d v="2024-06-14T00:00:00"/>
        <d v="2024-06-15T00:00:00"/>
        <d v="2024-06-16T00:00:00"/>
        <d v="2024-06-17T00:00:00"/>
        <d v="2024-06-19T00:00:00"/>
        <d v="2024-06-21T00:00:00"/>
        <d v="2024-06-25T00:00:00"/>
        <d v="2024-06-26T00:00:00"/>
        <d v="2024-06-29T00:00:00"/>
        <d v="2024-07-02T00:00:00"/>
        <d v="2024-07-05T00:00:00"/>
        <d v="2024-07-07T00:00:00"/>
        <d v="2024-07-08T00:00:00"/>
        <d v="2024-07-11T00:00:00"/>
        <d v="2024-07-13T00:00:00"/>
        <d v="2024-07-14T00:00:00"/>
        <d v="2024-07-16T00:00:00"/>
        <d v="2024-07-17T00:00:00"/>
        <d v="2024-07-19T00:00:00"/>
        <d v="2024-07-20T00:00:00"/>
        <d v="2024-07-21T00:00:00"/>
        <d v="2024-07-22T00:00:00"/>
        <d v="2024-07-23T00:00:00"/>
        <d v="2024-08-03T00:00:00"/>
        <d v="2024-08-08T00:00:00"/>
        <d v="2024-08-09T00:00:00"/>
        <d v="2024-08-10T00:00:00"/>
        <d v="2024-08-12T00:00:00"/>
        <d v="2024-08-13T00:00:00"/>
        <d v="2024-08-18T00:00:00"/>
        <d v="2024-08-21T00:00:00"/>
        <d v="2024-08-26T00:00:00"/>
        <d v="2024-08-27T00:00:00"/>
        <d v="2024-08-29T00:00:00"/>
        <d v="2024-09-01T00:00:00"/>
        <d v="2024-09-03T00:00:00"/>
        <d v="2024-09-04T00:00:00"/>
        <d v="2024-09-06T00:00:00"/>
        <d v="2024-09-07T00:00:00"/>
        <d v="2024-09-09T00:00:00"/>
        <d v="2024-09-10T00:00:00"/>
        <d v="2024-09-12T00:00:00"/>
        <d v="2024-09-15T00:00:00"/>
        <d v="2024-09-16T00:00:00"/>
        <d v="2024-09-18T00:00:00"/>
        <d v="2024-09-27T00:00:00"/>
        <d v="2024-09-28T00:00:00"/>
        <d v="2024-10-01T00:00:00"/>
        <d v="2024-10-04T00:00:00"/>
        <d v="2024-10-06T00:00:00"/>
        <d v="2024-10-08T00:00:00"/>
        <d v="2024-10-09T00:00:00"/>
        <d v="2024-10-10T00:00:00"/>
        <d v="2024-10-11T00:00:00"/>
        <d v="2024-10-12T00:00:00"/>
        <d v="2024-10-14T00:00:00"/>
        <d v="2024-10-15T00:00:00"/>
        <d v="2024-10-18T00:00:00"/>
        <d v="2024-10-20T00:00:00"/>
        <d v="2024-10-24T00:00:00"/>
        <d v="2024-10-26T00:00:00"/>
        <d v="2024-11-03T00:00:00"/>
        <d v="2024-11-06T00:00:00"/>
        <d v="2024-11-07T00:00:00"/>
        <d v="2024-11-08T00:00:00"/>
        <d v="2024-11-10T00:00:00"/>
        <d v="2024-11-13T00:00:00"/>
        <d v="2024-11-14T00:00:00"/>
        <d v="2024-11-16T00:00:00"/>
        <d v="2024-11-19T00:00:00"/>
        <d v="2024-11-21T00:00:00"/>
        <d v="2024-11-23T00:00:00"/>
        <d v="2024-11-25T00:00:00"/>
        <d v="2024-11-28T00:00:00"/>
        <d v="2024-11-29T00:00:00"/>
        <d v="2024-11-30T00:00:00"/>
        <d v="2024-12-02T00:00:00"/>
        <d v="2024-12-03T00:00:00"/>
        <d v="2024-12-04T00:00:00"/>
        <d v="2024-12-08T00:00:00"/>
        <d v="2024-12-10T00:00:00"/>
        <d v="2024-12-13T00:00:00"/>
        <d v="2024-12-14T00:00:00"/>
        <d v="2024-12-17T00:00:00"/>
        <d v="2024-12-19T00:00:00"/>
        <d v="2024-12-20T00:00:00"/>
        <d v="2024-12-21T00:00:00"/>
        <d v="2024-12-27T00:00:00"/>
        <d v="2024-12-29T00:00:00"/>
        <d v="2024-12-30T00:00:00"/>
        <d v="2025-01-01T00:00:00"/>
        <d v="2025-01-03T00:00:00"/>
        <d v="2025-01-05T00:00:00"/>
        <d v="2025-01-09T00:00:00"/>
        <d v="2025-01-12T00:00:00"/>
        <d v="2025-01-13T00:00:00"/>
        <d v="2025-01-15T00:00:00"/>
        <d v="2025-01-16T00:00:00"/>
        <d v="2025-01-17T00:00:00"/>
        <d v="2025-01-19T00:00:00"/>
        <d v="2025-01-20T00:00:00"/>
        <d v="2025-01-21T00:00:00"/>
        <d v="2025-01-22T00:00:00"/>
        <d v="2025-01-26T00:00:00"/>
        <d v="2025-01-27T00:00:00"/>
        <d v="2025-01-29T00:00:00"/>
        <d v="2025-02-01T00:00:00"/>
        <d v="2025-02-03T00:00:00"/>
        <d v="2025-02-05T00:00:00"/>
        <d v="2025-02-08T00:00:00"/>
        <d v="2025-02-14T00:00:00"/>
        <d v="2025-02-16T00:00:00"/>
        <d v="2025-02-17T00:00:00"/>
        <d v="2025-02-19T00:00:00"/>
        <d v="2025-02-20T00:00:00"/>
        <d v="2025-03-02T00:00:00"/>
        <d v="2025-03-04T00:00:00"/>
        <d v="2025-03-06T00:00:00"/>
        <d v="2025-03-07T00:00:00"/>
        <d v="2025-03-08T00:00:00"/>
        <d v="2025-03-09T00:00:00"/>
        <d v="2025-03-18T00:00:00"/>
        <d v="2025-03-20T00:00:00"/>
        <d v="2025-03-21T00:00:00"/>
        <d v="2025-03-22T00:00:00"/>
        <d v="2025-04-01T00:00:00"/>
        <d v="2025-04-02T00:00:00"/>
        <d v="2025-04-07T00:00:00"/>
        <d v="2025-04-12T00:00:00"/>
        <d v="2025-04-13T00:00:00"/>
        <d v="2025-04-15T00:00:00"/>
        <d v="2025-04-16T00:00:00"/>
        <d v="2025-04-18T00:00:00"/>
        <d v="2025-04-22T00:00:00"/>
        <d v="2025-04-26T00:00:00"/>
        <d v="2025-04-27T00:00:00"/>
        <d v="2025-04-30T00:00:00"/>
        <d v="2025-05-03T00:00:00"/>
        <d v="2025-05-04T00:00:00"/>
        <d v="2025-05-06T00:00:00"/>
        <d v="2025-05-08T00:00:00"/>
        <d v="2025-05-09T00:00:00"/>
        <d v="2025-05-14T00:00:00"/>
        <d v="2025-05-15T00:00:00"/>
        <d v="2025-05-18T00:00:00"/>
        <d v="2025-05-22T00:00:00"/>
        <d v="2025-05-26T00:00:00"/>
        <d v="2025-05-27T00:00:00"/>
        <d v="2025-05-28T00:00:00"/>
        <d v="2025-05-29T00:00:00"/>
        <d v="2025-05-31T00:00:00"/>
        <d v="2025-06-06T00:00:00"/>
        <d v="2025-06-08T00:00:00"/>
        <d v="2025-06-10T00:00:00"/>
        <d v="2025-06-11T00:00:00"/>
        <d v="2025-06-15T00:00:00"/>
        <d v="2025-06-17T00:00:00"/>
        <d v="2025-06-18T00:00:00"/>
        <d v="2025-06-19T00:00:00"/>
        <d v="2025-06-21T00:00:00"/>
        <d v="2025-06-24T00:00:00"/>
        <d v="2025-06-27T00:00:00"/>
        <d v="2025-06-30T00:00:00"/>
        <d v="2025-07-01T00:00:00"/>
      </sharedItems>
      <fieldGroup par="26"/>
    </cacheField>
    <cacheField name="Content Type" numFmtId="0">
      <sharedItems count="3">
        <s v="Reel"/>
        <s v="Story"/>
        <s v="Text"/>
      </sharedItems>
    </cacheField>
    <cacheField name="Post Text" numFmtId="0">
      <sharedItems count="10">
        <s v="Explore the latest podcasts now"/>
        <s v="What's your vibe today SpotifyHits"/>
        <s v="Top trending tracks updated daily"/>
        <s v="Wrapped is here! Relive your top tracks"/>
        <s v="New music just dropped. Hit play"/>
        <s v="Discover fresh beats on Spotify"/>
        <s v="From pop to podcasts, it's all here"/>
        <s v="Your weekend playlist is waiting"/>
        <s v="Music that moves youâ€”only on Spotify"/>
        <s v="Get into the groove with our new drop"/>
      </sharedItems>
    </cacheField>
    <cacheField name="Likes" numFmtId="0">
      <sharedItems containsSemiMixedTypes="0" containsString="0" containsNumber="1" containsInteger="1" minValue="1010" maxValue="4995"/>
    </cacheField>
    <cacheField name="Shares" numFmtId="0">
      <sharedItems containsSemiMixedTypes="0" containsString="0" containsNumber="1" containsInteger="1" minValue="100" maxValue="499"/>
    </cacheField>
    <cacheField name="Comments" numFmtId="0">
      <sharedItems containsSemiMixedTypes="0" containsString="0" containsNumber="1" containsInteger="1" minValue="51" maxValue="400"/>
    </cacheField>
    <cacheField name="Impressions" numFmtId="0">
      <sharedItems containsSemiMixedTypes="0" containsString="0" containsNumber="1" containsInteger="1" minValue="20368" maxValue="59888"/>
    </cacheField>
    <cacheField name="Reach" numFmtId="0">
      <sharedItems containsSemiMixedTypes="0" containsString="0" containsNumber="1" containsInteger="1" minValue="18091" maxValue="74761"/>
    </cacheField>
    <cacheField name="Clicks" numFmtId="0">
      <sharedItems containsSemiMixedTypes="0" containsString="0" containsNumber="1" containsInteger="1" minValue="80" maxValue="299"/>
    </cacheField>
    <cacheField name="Hashtags Used.1" numFmtId="0">
      <sharedItems count="4">
        <s v="#DiscoverWeekly"/>
        <s v="#MusicForEveryone"/>
        <s v="#SoundtrackOfLife"/>
        <s v="#NowPlaying"/>
      </sharedItems>
    </cacheField>
    <cacheField name="Hashtags Used.2" numFmtId="0">
      <sharedItems count="5">
        <s v="#SoundtrackOfLife"/>
        <s v="#NowPlaying"/>
        <s v="No HashTag"/>
        <s v="#SpotifyWrapped"/>
        <s v="#MusicForEveryone"/>
      </sharedItems>
    </cacheField>
    <cacheField name="Campaign_Name" numFmtId="0">
      <sharedItems count="4">
        <s v="SummerBeats"/>
        <s v="ChillVibes"/>
        <s v="IndieWave"/>
        <s v="Wrapped2024"/>
      </sharedItems>
    </cacheField>
    <cacheField name="Week_Start_Date" numFmtId="14">
      <sharedItems containsSemiMixedTypes="0" containsNonDate="0" containsDate="1" containsString="0" minDate="2024-06-03T00:00:00" maxDate="2024-06-04T00:00:00"/>
    </cacheField>
    <cacheField name="New_Followers" numFmtId="0">
      <sharedItems containsSemiMixedTypes="0" containsString="0" containsNumber="1" containsInteger="1" minValue="995" maxValue="1472"/>
    </cacheField>
    <cacheField name="Unfollows" numFmtId="0">
      <sharedItems containsSemiMixedTypes="0" containsString="0" containsNumber="1" containsInteger="1" minValue="68" maxValue="296"/>
    </cacheField>
    <cacheField name="Total_Followers" numFmtId="0">
      <sharedItems containsSemiMixedTypes="0" containsString="0" containsNumber="1" containsInteger="1" minValue="124562" maxValue="370242"/>
    </cacheField>
    <cacheField name="Engagement_Rate" numFmtId="0">
      <sharedItems containsSemiMixedTypes="0" containsString="0" containsNumber="1" minValue="7.72" maxValue="9.92"/>
    </cacheField>
    <cacheField name="Ad_Spend" numFmtId="0">
      <sharedItems containsSemiMixedTypes="0" containsString="0" containsNumber="1" containsInteger="1" minValue="7810" maxValue="23125"/>
    </cacheField>
    <cacheField name="Start_Date" numFmtId="14">
      <sharedItems containsSemiMixedTypes="0" containsNonDate="0" containsDate="1" containsString="0" minDate="2024-06-15T00:00:00" maxDate="2025-03-02T00:00:00" count="4">
        <d v="2024-06-15T00:00:00"/>
        <d v="2025-01-10T00:00:00"/>
        <d v="2025-03-01T00:00:00"/>
        <d v="2024-12-01T00:00:00"/>
      </sharedItems>
      <fieldGroup par="29"/>
    </cacheField>
    <cacheField name="End_Date" numFmtId="14">
      <sharedItems containsSemiMixedTypes="0" containsNonDate="0" containsDate="1" containsString="0" minDate="2024-07-15T00:00:00" maxDate="2025-04-01T00:00:00" count="4">
        <d v="2024-07-15T00:00:00"/>
        <d v="2025-02-10T00:00:00"/>
        <d v="2025-03-31T00:00:00"/>
        <d v="2024-12-31T00:00:00"/>
      </sharedItems>
      <fieldGroup par="32"/>
    </cacheField>
    <cacheField name="Objective" numFmtId="0">
      <sharedItems/>
    </cacheField>
    <cacheField name="Total_Budget" numFmtId="0">
      <sharedItems containsSemiMixedTypes="0" containsString="0" containsNumber="1" containsInteger="1" minValue="160000" maxValue="225000"/>
    </cacheField>
    <cacheField name="Months (Date)" numFmtId="0" databaseField="0">
      <fieldGroup base="2">
        <rangePr groupBy="months" startDate="2024-01-01T00:00:00" endDate="2025-07-02T00:00:00"/>
        <groupItems count="14">
          <s v="&lt;01-01-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7-2025"/>
        </groupItems>
      </fieldGroup>
    </cacheField>
    <cacheField name="Quarters (Date)" numFmtId="0" databaseField="0">
      <fieldGroup base="2">
        <rangePr groupBy="quarters" startDate="2024-01-01T00:00:00" endDate="2025-07-02T00:00:00"/>
        <groupItems count="6">
          <s v="&lt;01-01-2024"/>
          <s v="Qtr1"/>
          <s v="Qtr2"/>
          <s v="Qtr3"/>
          <s v="Qtr4"/>
          <s v="&gt;02-07-2025"/>
        </groupItems>
      </fieldGroup>
    </cacheField>
    <cacheField name="Years (Date)" numFmtId="0" databaseField="0">
      <fieldGroup base="2">
        <rangePr groupBy="years" startDate="2024-01-01T00:00:00" endDate="2025-07-02T00:00:00"/>
        <groupItems count="4">
          <s v="&lt;01-01-2024"/>
          <s v="2024"/>
          <s v="2025"/>
          <s v="&gt;02-07-2025"/>
        </groupItems>
      </fieldGroup>
    </cacheField>
    <cacheField name="Months (Start_Date)" numFmtId="0" databaseField="0">
      <fieldGroup base="20">
        <rangePr groupBy="months" startDate="2024-06-15T00:00:00" endDate="2025-03-02T00:00:00"/>
        <groupItems count="14">
          <s v="&lt;15-06-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3-2025"/>
        </groupItems>
      </fieldGroup>
    </cacheField>
    <cacheField name="Quarters (Start_Date)" numFmtId="0" databaseField="0">
      <fieldGroup base="20">
        <rangePr groupBy="quarters" startDate="2024-06-15T00:00:00" endDate="2025-03-02T00:00:00"/>
        <groupItems count="6">
          <s v="&lt;15-06-2024"/>
          <s v="Qtr1"/>
          <s v="Qtr2"/>
          <s v="Qtr3"/>
          <s v="Qtr4"/>
          <s v="&gt;02-03-2025"/>
        </groupItems>
      </fieldGroup>
    </cacheField>
    <cacheField name="Years (Start_Date)" numFmtId="0" databaseField="0">
      <fieldGroup base="20">
        <rangePr groupBy="years" startDate="2024-06-15T00:00:00" endDate="2025-03-02T00:00:00"/>
        <groupItems count="4">
          <s v="&lt;15-06-2024"/>
          <s v="2024"/>
          <s v="2025"/>
          <s v="&gt;02-03-2025"/>
        </groupItems>
      </fieldGroup>
    </cacheField>
    <cacheField name="Months (End_Date)" numFmtId="0" databaseField="0">
      <fieldGroup base="21">
        <rangePr groupBy="months" startDate="2024-07-15T00:00:00" endDate="2025-04-01T00:00:00"/>
        <groupItems count="14">
          <s v="&lt;15-07-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4-2025"/>
        </groupItems>
      </fieldGroup>
    </cacheField>
    <cacheField name="Quarters (End_Date)" numFmtId="0" databaseField="0">
      <fieldGroup base="21">
        <rangePr groupBy="quarters" startDate="2024-07-15T00:00:00" endDate="2025-04-01T00:00:00"/>
        <groupItems count="6">
          <s v="&lt;15-07-2024"/>
          <s v="Qtr1"/>
          <s v="Qtr2"/>
          <s v="Qtr3"/>
          <s v="Qtr4"/>
          <s v="&gt;01-04-2025"/>
        </groupItems>
      </fieldGroup>
    </cacheField>
    <cacheField name="Years (End_Date)" numFmtId="0" databaseField="0">
      <fieldGroup base="21">
        <rangePr groupBy="years" startDate="2024-07-15T00:00:00" endDate="2025-04-01T00:00:00"/>
        <groupItems count="4">
          <s v="&lt;15-07-2024"/>
          <s v="2024"/>
          <s v="2025"/>
          <s v="&gt;01-04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diAcerAspireE1-531" refreshedDate="45920.64447835648" createdVersion="8" refreshedVersion="8" minRefreshableVersion="3" recordCount="200" xr:uid="{F400B90E-94FD-4F9A-AF32-BA8B6F8E4B28}">
  <cacheSource type="worksheet">
    <worksheetSource name="Engagement_Summary"/>
  </cacheSource>
  <cacheFields count="10">
    <cacheField name="Week_Start_Date" numFmtId="14">
      <sharedItems containsSemiMixedTypes="0" containsNonDate="0" containsDate="1" containsString="0" minDate="2024-06-03T00:00:00" maxDate="2025-09-09T00:00:00" count="67">
        <d v="2024-06-03T00:00:00"/>
        <d v="2024-06-10T00:00:00"/>
        <d v="2024-06-17T00:00:00"/>
        <d v="2024-06-24T00:00:00"/>
        <d v="2024-07-01T00:00:00"/>
        <d v="2024-07-08T00:00:00"/>
        <d v="2024-07-15T00:00:00"/>
        <d v="2024-07-22T00:00:00"/>
        <d v="2024-07-29T00:00:00"/>
        <d v="2024-08-05T00:00:00"/>
        <d v="2024-08-12T00:00:00"/>
        <d v="2024-08-19T00:00:00"/>
        <d v="2024-08-26T00:00:00"/>
        <d v="2024-09-02T00:00:00"/>
        <d v="2024-09-09T00:00:00"/>
        <d v="2024-09-16T00:00:00"/>
        <d v="2024-09-23T00:00:00"/>
        <d v="2024-09-30T00:00:00"/>
        <d v="2024-10-07T00:00:00"/>
        <d v="2024-10-14T00:00:00"/>
        <d v="2024-10-21T00:00:00"/>
        <d v="2024-10-28T00:00:00"/>
        <d v="2024-11-04T00:00:00"/>
        <d v="2024-11-11T00:00:00"/>
        <d v="2024-11-18T00:00:00"/>
        <d v="2024-11-25T00:00:00"/>
        <d v="2024-12-02T00:00:00"/>
        <d v="2024-12-09T00:00:00"/>
        <d v="2024-12-16T00:00:00"/>
        <d v="2024-12-23T00:00:00"/>
        <d v="2024-12-30T00:00:00"/>
        <d v="2025-01-06T00:00:00"/>
        <d v="2025-01-13T00:00:00"/>
        <d v="2025-01-20T00:00:00"/>
        <d v="2025-01-27T00:00:00"/>
        <d v="2025-02-03T00:00:00"/>
        <d v="2025-02-10T00:00:00"/>
        <d v="2025-02-17T00:00:00"/>
        <d v="2025-02-24T00:00:00"/>
        <d v="2025-03-03T00:00:00"/>
        <d v="2025-03-10T00:00:00"/>
        <d v="2025-03-17T00:00:00"/>
        <d v="2025-03-24T00:00:00"/>
        <d v="2025-03-31T00:00:00"/>
        <d v="2025-04-07T00:00:00"/>
        <d v="2025-04-14T00:00:00"/>
        <d v="2025-04-21T00:00:00"/>
        <d v="2025-04-28T00:00:00"/>
        <d v="2025-05-05T00:00:00"/>
        <d v="2025-05-12T00:00:00"/>
        <d v="2025-05-19T00:00:00"/>
        <d v="2025-05-26T00:00:00"/>
        <d v="2025-06-02T00:00:00"/>
        <d v="2025-06-09T00:00:00"/>
        <d v="2025-06-16T00:00:00"/>
        <d v="2025-06-23T00:00:00"/>
        <d v="2025-06-30T00:00:00"/>
        <d v="2025-07-07T00:00:00"/>
        <d v="2025-07-14T00:00:00"/>
        <d v="2025-07-21T00:00:00"/>
        <d v="2025-07-28T00:00:00"/>
        <d v="2025-08-04T00:00:00"/>
        <d v="2025-08-11T00:00:00"/>
        <d v="2025-08-18T00:00:00"/>
        <d v="2025-08-25T00:00:00"/>
        <d v="2025-09-01T00:00:00"/>
        <d v="2025-09-08T00:00:00"/>
      </sharedItems>
      <fieldGroup par="9"/>
    </cacheField>
    <cacheField name="Platform" numFmtId="0">
      <sharedItems count="3">
        <s v="Instagram"/>
        <s v="Twitter"/>
        <s v="YouTube"/>
      </sharedItems>
    </cacheField>
    <cacheField name="New_Followers" numFmtId="0">
      <sharedItems containsSemiMixedTypes="0" containsString="0" containsNumber="1" containsInteger="1" minValue="503" maxValue="1490"/>
    </cacheField>
    <cacheField name="Unfollows" numFmtId="0">
      <sharedItems containsSemiMixedTypes="0" containsString="0" containsNumber="1" containsInteger="1" minValue="50" maxValue="296"/>
    </cacheField>
    <cacheField name="Total_Followers" numFmtId="0">
      <sharedItems containsSemiMixedTypes="0" containsString="0" containsNumber="1" containsInteger="1" minValue="61445" maxValue="397607"/>
    </cacheField>
    <cacheField name="Engagement_Rate" numFmtId="0">
      <sharedItems containsSemiMixedTypes="0" containsString="0" containsNumber="1" minValue="3.08" maxValue="9.99"/>
    </cacheField>
    <cacheField name="Ad_Spend" numFmtId="0">
      <sharedItems containsSemiMixedTypes="0" containsString="0" containsNumber="1" containsInteger="1" minValue="5281" maxValue="27829"/>
    </cacheField>
    <cacheField name="Months (Week_Start_Date)" numFmtId="0" databaseField="0">
      <fieldGroup base="0">
        <rangePr groupBy="months" startDate="2024-06-03T00:00:00" endDate="2025-09-09T00:00:00"/>
        <groupItems count="14">
          <s v="&lt;03-06-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9-09-2025"/>
        </groupItems>
      </fieldGroup>
    </cacheField>
    <cacheField name="Quarters (Week_Start_Date)" numFmtId="0" databaseField="0">
      <fieldGroup base="0">
        <rangePr groupBy="quarters" startDate="2024-06-03T00:00:00" endDate="2025-09-09T00:00:00"/>
        <groupItems count="6">
          <s v="&lt;03-06-2024"/>
          <s v="Qtr1"/>
          <s v="Qtr2"/>
          <s v="Qtr3"/>
          <s v="Qtr4"/>
          <s v="&gt;09-09-2025"/>
        </groupItems>
      </fieldGroup>
    </cacheField>
    <cacheField name="Years (Week_Start_Date)" numFmtId="0" databaseField="0">
      <fieldGroup base="0">
        <rangePr groupBy="years" startDate="2024-06-03T00:00:00" endDate="2025-09-09T00:00:00"/>
        <groupItems count="4">
          <s v="&lt;03-06-2024"/>
          <s v="2024"/>
          <s v="2025"/>
          <s v="&gt;09-09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x v="0"/>
    <x v="0"/>
    <x v="0"/>
    <x v="0"/>
    <x v="0"/>
    <n v="3437"/>
    <n v="129"/>
    <n v="359"/>
    <n v="44558"/>
    <n v="30854"/>
    <n v="171"/>
    <x v="0"/>
    <x v="0"/>
    <x v="0"/>
    <d v="2024-06-03T00:00:00"/>
    <n v="1472"/>
    <n v="296"/>
    <n v="370242"/>
    <n v="7.72"/>
    <n v="7810"/>
    <x v="0"/>
    <x v="0"/>
    <s v="Brand Awareness"/>
    <n v="175000"/>
  </r>
  <r>
    <x v="1"/>
    <x v="1"/>
    <x v="1"/>
    <x v="1"/>
    <x v="1"/>
    <n v="3208"/>
    <n v="476"/>
    <n v="277"/>
    <n v="56072"/>
    <n v="21061"/>
    <n v="113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"/>
    <x v="2"/>
    <x v="2"/>
    <x v="2"/>
    <x v="2"/>
    <n v="4931"/>
    <n v="469"/>
    <n v="193"/>
    <n v="56701"/>
    <n v="69437"/>
    <n v="291"/>
    <x v="2"/>
    <x v="1"/>
    <x v="1"/>
    <d v="2024-06-03T00:00:00"/>
    <n v="1402"/>
    <n v="68"/>
    <n v="124562"/>
    <n v="9.92"/>
    <n v="23125"/>
    <x v="1"/>
    <x v="1"/>
    <s v="Product Launch"/>
    <n v="200000"/>
  </r>
  <r>
    <x v="3"/>
    <x v="2"/>
    <x v="3"/>
    <x v="2"/>
    <x v="2"/>
    <n v="2683"/>
    <n v="405"/>
    <n v="223"/>
    <n v="31233"/>
    <n v="58106"/>
    <n v="291"/>
    <x v="0"/>
    <x v="2"/>
    <x v="2"/>
    <d v="2024-06-03T00:00:00"/>
    <n v="1402"/>
    <n v="68"/>
    <n v="124562"/>
    <n v="9.92"/>
    <n v="23125"/>
    <x v="2"/>
    <x v="2"/>
    <s v="Traffic"/>
    <n v="160000"/>
  </r>
  <r>
    <x v="4"/>
    <x v="0"/>
    <x v="4"/>
    <x v="2"/>
    <x v="0"/>
    <n v="1261"/>
    <n v="190"/>
    <n v="233"/>
    <n v="59888"/>
    <n v="51449"/>
    <n v="205"/>
    <x v="0"/>
    <x v="3"/>
    <x v="2"/>
    <d v="2024-06-03T00:00:00"/>
    <n v="1472"/>
    <n v="296"/>
    <n v="370242"/>
    <n v="7.72"/>
    <n v="7810"/>
    <x v="2"/>
    <x v="2"/>
    <s v="Traffic"/>
    <n v="160000"/>
  </r>
  <r>
    <x v="5"/>
    <x v="1"/>
    <x v="5"/>
    <x v="2"/>
    <x v="1"/>
    <n v="4218"/>
    <n v="247"/>
    <n v="183"/>
    <n v="28914"/>
    <n v="18310"/>
    <n v="135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6"/>
    <x v="1"/>
    <x v="5"/>
    <x v="1"/>
    <x v="3"/>
    <n v="2340"/>
    <n v="141"/>
    <n v="206"/>
    <n v="24916"/>
    <n v="30582"/>
    <n v="157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7"/>
    <x v="1"/>
    <x v="6"/>
    <x v="1"/>
    <x v="3"/>
    <n v="2227"/>
    <n v="494"/>
    <n v="161"/>
    <n v="51651"/>
    <n v="68074"/>
    <n v="240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8"/>
    <x v="0"/>
    <x v="7"/>
    <x v="0"/>
    <x v="4"/>
    <n v="4781"/>
    <n v="191"/>
    <n v="122"/>
    <n v="35535"/>
    <n v="50777"/>
    <n v="128"/>
    <x v="0"/>
    <x v="0"/>
    <x v="0"/>
    <d v="2024-06-03T00:00:00"/>
    <n v="1472"/>
    <n v="296"/>
    <n v="370242"/>
    <n v="7.72"/>
    <n v="7810"/>
    <x v="0"/>
    <x v="0"/>
    <s v="Brand Awareness"/>
    <n v="175000"/>
  </r>
  <r>
    <x v="9"/>
    <x v="0"/>
    <x v="8"/>
    <x v="2"/>
    <x v="4"/>
    <n v="3634"/>
    <n v="280"/>
    <n v="399"/>
    <n v="40256"/>
    <n v="52605"/>
    <n v="213"/>
    <x v="0"/>
    <x v="3"/>
    <x v="2"/>
    <d v="2024-06-03T00:00:00"/>
    <n v="1472"/>
    <n v="296"/>
    <n v="370242"/>
    <n v="7.72"/>
    <n v="7810"/>
    <x v="2"/>
    <x v="2"/>
    <s v="Traffic"/>
    <n v="160000"/>
  </r>
  <r>
    <x v="10"/>
    <x v="0"/>
    <x v="8"/>
    <x v="2"/>
    <x v="1"/>
    <n v="4502"/>
    <n v="238"/>
    <n v="386"/>
    <n v="39198"/>
    <n v="25050"/>
    <n v="297"/>
    <x v="0"/>
    <x v="3"/>
    <x v="2"/>
    <d v="2024-06-03T00:00:00"/>
    <n v="1472"/>
    <n v="296"/>
    <n v="370242"/>
    <n v="7.72"/>
    <n v="7810"/>
    <x v="2"/>
    <x v="2"/>
    <s v="Traffic"/>
    <n v="160000"/>
  </r>
  <r>
    <x v="11"/>
    <x v="1"/>
    <x v="9"/>
    <x v="1"/>
    <x v="4"/>
    <n v="2174"/>
    <n v="499"/>
    <n v="212"/>
    <n v="54938"/>
    <n v="27190"/>
    <n v="265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2"/>
    <x v="1"/>
    <x v="10"/>
    <x v="1"/>
    <x v="5"/>
    <n v="2383"/>
    <n v="136"/>
    <n v="302"/>
    <n v="39187"/>
    <n v="22133"/>
    <n v="208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3"/>
    <x v="1"/>
    <x v="11"/>
    <x v="1"/>
    <x v="6"/>
    <n v="1554"/>
    <n v="455"/>
    <n v="158"/>
    <n v="41947"/>
    <n v="48578"/>
    <n v="101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14"/>
    <x v="2"/>
    <x v="12"/>
    <x v="2"/>
    <x v="1"/>
    <n v="3878"/>
    <n v="431"/>
    <n v="97"/>
    <n v="41763"/>
    <n v="29729"/>
    <n v="191"/>
    <x v="0"/>
    <x v="2"/>
    <x v="2"/>
    <d v="2024-06-03T00:00:00"/>
    <n v="1402"/>
    <n v="68"/>
    <n v="124562"/>
    <n v="9.92"/>
    <n v="23125"/>
    <x v="2"/>
    <x v="2"/>
    <s v="Traffic"/>
    <n v="160000"/>
  </r>
  <r>
    <x v="15"/>
    <x v="0"/>
    <x v="13"/>
    <x v="2"/>
    <x v="7"/>
    <n v="1976"/>
    <n v="262"/>
    <n v="218"/>
    <n v="51696"/>
    <n v="44846"/>
    <n v="139"/>
    <x v="0"/>
    <x v="3"/>
    <x v="2"/>
    <d v="2024-06-03T00:00:00"/>
    <n v="1472"/>
    <n v="296"/>
    <n v="370242"/>
    <n v="7.72"/>
    <n v="7810"/>
    <x v="2"/>
    <x v="2"/>
    <s v="Traffic"/>
    <n v="160000"/>
  </r>
  <r>
    <x v="16"/>
    <x v="1"/>
    <x v="14"/>
    <x v="2"/>
    <x v="8"/>
    <n v="1456"/>
    <n v="265"/>
    <n v="137"/>
    <n v="53485"/>
    <n v="59729"/>
    <n v="145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7"/>
    <x v="0"/>
    <x v="15"/>
    <x v="2"/>
    <x v="3"/>
    <n v="1432"/>
    <n v="437"/>
    <n v="267"/>
    <n v="40634"/>
    <n v="54511"/>
    <n v="197"/>
    <x v="0"/>
    <x v="3"/>
    <x v="2"/>
    <d v="2024-06-03T00:00:00"/>
    <n v="1472"/>
    <n v="296"/>
    <n v="370242"/>
    <n v="7.72"/>
    <n v="7810"/>
    <x v="2"/>
    <x v="2"/>
    <s v="Traffic"/>
    <n v="160000"/>
  </r>
  <r>
    <x v="18"/>
    <x v="1"/>
    <x v="16"/>
    <x v="2"/>
    <x v="6"/>
    <n v="3818"/>
    <n v="115"/>
    <n v="286"/>
    <n v="25127"/>
    <n v="22277"/>
    <n v="263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9"/>
    <x v="2"/>
    <x v="17"/>
    <x v="1"/>
    <x v="8"/>
    <n v="4281"/>
    <n v="101"/>
    <n v="163"/>
    <n v="32278"/>
    <n v="53382"/>
    <n v="235"/>
    <x v="3"/>
    <x v="2"/>
    <x v="3"/>
    <d v="2024-06-03T00:00:00"/>
    <n v="1402"/>
    <n v="68"/>
    <n v="124562"/>
    <n v="9.92"/>
    <n v="23125"/>
    <x v="3"/>
    <x v="3"/>
    <s v="Engagement"/>
    <n v="225000"/>
  </r>
  <r>
    <x v="20"/>
    <x v="2"/>
    <x v="18"/>
    <x v="2"/>
    <x v="8"/>
    <n v="1883"/>
    <n v="432"/>
    <n v="397"/>
    <n v="28759"/>
    <n v="18691"/>
    <n v="270"/>
    <x v="2"/>
    <x v="1"/>
    <x v="1"/>
    <d v="2024-06-03T00:00:00"/>
    <n v="1402"/>
    <n v="68"/>
    <n v="124562"/>
    <n v="9.92"/>
    <n v="23125"/>
    <x v="1"/>
    <x v="1"/>
    <s v="Product Launch"/>
    <n v="200000"/>
  </r>
  <r>
    <x v="21"/>
    <x v="0"/>
    <x v="19"/>
    <x v="0"/>
    <x v="2"/>
    <n v="1889"/>
    <n v="298"/>
    <n v="122"/>
    <n v="46225"/>
    <n v="74305"/>
    <n v="293"/>
    <x v="0"/>
    <x v="0"/>
    <x v="0"/>
    <d v="2024-06-03T00:00:00"/>
    <n v="1472"/>
    <n v="296"/>
    <n v="370242"/>
    <n v="7.72"/>
    <n v="7810"/>
    <x v="0"/>
    <x v="0"/>
    <s v="Brand Awareness"/>
    <n v="175000"/>
  </r>
  <r>
    <x v="22"/>
    <x v="1"/>
    <x v="20"/>
    <x v="2"/>
    <x v="6"/>
    <n v="1519"/>
    <n v="456"/>
    <n v="379"/>
    <n v="51611"/>
    <n v="45880"/>
    <n v="176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23"/>
    <x v="1"/>
    <x v="21"/>
    <x v="2"/>
    <x v="0"/>
    <n v="2691"/>
    <n v="486"/>
    <n v="206"/>
    <n v="51133"/>
    <n v="44583"/>
    <n v="276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4"/>
    <x v="2"/>
    <x v="21"/>
    <x v="2"/>
    <x v="0"/>
    <n v="2923"/>
    <n v="330"/>
    <n v="250"/>
    <n v="23993"/>
    <n v="74590"/>
    <n v="92"/>
    <x v="0"/>
    <x v="2"/>
    <x v="2"/>
    <d v="2024-06-03T00:00:00"/>
    <n v="1402"/>
    <n v="68"/>
    <n v="124562"/>
    <n v="9.92"/>
    <n v="23125"/>
    <x v="2"/>
    <x v="2"/>
    <s v="Traffic"/>
    <n v="160000"/>
  </r>
  <r>
    <x v="25"/>
    <x v="2"/>
    <x v="22"/>
    <x v="2"/>
    <x v="8"/>
    <n v="1830"/>
    <n v="112"/>
    <n v="181"/>
    <n v="31870"/>
    <n v="55742"/>
    <n v="263"/>
    <x v="2"/>
    <x v="1"/>
    <x v="1"/>
    <d v="2024-06-03T00:00:00"/>
    <n v="1402"/>
    <n v="68"/>
    <n v="124562"/>
    <n v="9.92"/>
    <n v="23125"/>
    <x v="1"/>
    <x v="1"/>
    <s v="Product Launch"/>
    <n v="200000"/>
  </r>
  <r>
    <x v="26"/>
    <x v="2"/>
    <x v="23"/>
    <x v="1"/>
    <x v="6"/>
    <n v="1516"/>
    <n v="215"/>
    <n v="332"/>
    <n v="58981"/>
    <n v="36118"/>
    <n v="211"/>
    <x v="3"/>
    <x v="2"/>
    <x v="3"/>
    <d v="2024-06-03T00:00:00"/>
    <n v="1402"/>
    <n v="68"/>
    <n v="124562"/>
    <n v="9.92"/>
    <n v="23125"/>
    <x v="3"/>
    <x v="3"/>
    <s v="Engagement"/>
    <n v="225000"/>
  </r>
  <r>
    <x v="27"/>
    <x v="2"/>
    <x v="24"/>
    <x v="2"/>
    <x v="3"/>
    <n v="4752"/>
    <n v="449"/>
    <n v="309"/>
    <n v="58530"/>
    <n v="26630"/>
    <n v="234"/>
    <x v="0"/>
    <x v="2"/>
    <x v="2"/>
    <d v="2024-06-03T00:00:00"/>
    <n v="1402"/>
    <n v="68"/>
    <n v="124562"/>
    <n v="9.92"/>
    <n v="23125"/>
    <x v="2"/>
    <x v="2"/>
    <s v="Traffic"/>
    <n v="160000"/>
  </r>
  <r>
    <x v="28"/>
    <x v="1"/>
    <x v="25"/>
    <x v="1"/>
    <x v="9"/>
    <n v="2604"/>
    <n v="439"/>
    <n v="148"/>
    <n v="58468"/>
    <n v="39629"/>
    <n v="163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9"/>
    <x v="2"/>
    <x v="26"/>
    <x v="2"/>
    <x v="4"/>
    <n v="1902"/>
    <n v="394"/>
    <n v="279"/>
    <n v="24615"/>
    <n v="51330"/>
    <n v="176"/>
    <x v="2"/>
    <x v="1"/>
    <x v="1"/>
    <d v="2024-06-03T00:00:00"/>
    <n v="1402"/>
    <n v="68"/>
    <n v="124562"/>
    <n v="9.92"/>
    <n v="23125"/>
    <x v="1"/>
    <x v="1"/>
    <s v="Product Launch"/>
    <n v="200000"/>
  </r>
  <r>
    <x v="30"/>
    <x v="0"/>
    <x v="27"/>
    <x v="0"/>
    <x v="5"/>
    <n v="4221"/>
    <n v="307"/>
    <n v="58"/>
    <n v="45080"/>
    <n v="37214"/>
    <n v="240"/>
    <x v="0"/>
    <x v="0"/>
    <x v="0"/>
    <d v="2024-06-03T00:00:00"/>
    <n v="1472"/>
    <n v="296"/>
    <n v="370242"/>
    <n v="7.72"/>
    <n v="7810"/>
    <x v="0"/>
    <x v="0"/>
    <s v="Brand Awareness"/>
    <n v="175000"/>
  </r>
  <r>
    <x v="31"/>
    <x v="1"/>
    <x v="27"/>
    <x v="1"/>
    <x v="8"/>
    <n v="1022"/>
    <n v="463"/>
    <n v="360"/>
    <n v="51468"/>
    <n v="24279"/>
    <n v="230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32"/>
    <x v="0"/>
    <x v="27"/>
    <x v="2"/>
    <x v="8"/>
    <n v="4653"/>
    <n v="226"/>
    <n v="349"/>
    <n v="56876"/>
    <n v="28452"/>
    <n v="257"/>
    <x v="0"/>
    <x v="3"/>
    <x v="2"/>
    <d v="2024-06-03T00:00:00"/>
    <n v="1472"/>
    <n v="296"/>
    <n v="370242"/>
    <n v="7.72"/>
    <n v="7810"/>
    <x v="2"/>
    <x v="2"/>
    <s v="Traffic"/>
    <n v="160000"/>
  </r>
  <r>
    <x v="33"/>
    <x v="2"/>
    <x v="28"/>
    <x v="2"/>
    <x v="6"/>
    <n v="1100"/>
    <n v="229"/>
    <n v="312"/>
    <n v="25641"/>
    <n v="34601"/>
    <n v="169"/>
    <x v="0"/>
    <x v="2"/>
    <x v="2"/>
    <d v="2024-06-03T00:00:00"/>
    <n v="1402"/>
    <n v="68"/>
    <n v="124562"/>
    <n v="9.92"/>
    <n v="23125"/>
    <x v="2"/>
    <x v="2"/>
    <s v="Traffic"/>
    <n v="160000"/>
  </r>
  <r>
    <x v="34"/>
    <x v="0"/>
    <x v="29"/>
    <x v="0"/>
    <x v="0"/>
    <n v="3558"/>
    <n v="314"/>
    <n v="199"/>
    <n v="49612"/>
    <n v="53929"/>
    <n v="206"/>
    <x v="0"/>
    <x v="0"/>
    <x v="0"/>
    <d v="2024-06-03T00:00:00"/>
    <n v="1472"/>
    <n v="296"/>
    <n v="370242"/>
    <n v="7.72"/>
    <n v="7810"/>
    <x v="0"/>
    <x v="0"/>
    <s v="Brand Awareness"/>
    <n v="175000"/>
  </r>
  <r>
    <x v="35"/>
    <x v="1"/>
    <x v="30"/>
    <x v="2"/>
    <x v="5"/>
    <n v="1971"/>
    <n v="370"/>
    <n v="306"/>
    <n v="31316"/>
    <n v="27897"/>
    <n v="88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36"/>
    <x v="2"/>
    <x v="30"/>
    <x v="2"/>
    <x v="1"/>
    <n v="3529"/>
    <n v="263"/>
    <n v="107"/>
    <n v="26570"/>
    <n v="19367"/>
    <n v="96"/>
    <x v="0"/>
    <x v="2"/>
    <x v="2"/>
    <d v="2024-06-03T00:00:00"/>
    <n v="1402"/>
    <n v="68"/>
    <n v="124562"/>
    <n v="9.92"/>
    <n v="23125"/>
    <x v="2"/>
    <x v="2"/>
    <s v="Traffic"/>
    <n v="160000"/>
  </r>
  <r>
    <x v="37"/>
    <x v="0"/>
    <x v="31"/>
    <x v="0"/>
    <x v="6"/>
    <n v="3361"/>
    <n v="188"/>
    <n v="358"/>
    <n v="39838"/>
    <n v="24536"/>
    <n v="120"/>
    <x v="0"/>
    <x v="0"/>
    <x v="0"/>
    <d v="2024-06-03T00:00:00"/>
    <n v="1472"/>
    <n v="296"/>
    <n v="370242"/>
    <n v="7.72"/>
    <n v="7810"/>
    <x v="0"/>
    <x v="0"/>
    <s v="Brand Awareness"/>
    <n v="175000"/>
  </r>
  <r>
    <x v="38"/>
    <x v="1"/>
    <x v="32"/>
    <x v="1"/>
    <x v="9"/>
    <n v="4969"/>
    <n v="433"/>
    <n v="237"/>
    <n v="59552"/>
    <n v="23885"/>
    <n v="157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39"/>
    <x v="1"/>
    <x v="33"/>
    <x v="1"/>
    <x v="3"/>
    <n v="2895"/>
    <n v="292"/>
    <n v="90"/>
    <n v="24223"/>
    <n v="54626"/>
    <n v="114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40"/>
    <x v="0"/>
    <x v="34"/>
    <x v="0"/>
    <x v="0"/>
    <n v="2692"/>
    <n v="446"/>
    <n v="216"/>
    <n v="45818"/>
    <n v="62723"/>
    <n v="85"/>
    <x v="0"/>
    <x v="0"/>
    <x v="0"/>
    <d v="2024-06-03T00:00:00"/>
    <n v="1472"/>
    <n v="296"/>
    <n v="370242"/>
    <n v="7.72"/>
    <n v="7810"/>
    <x v="0"/>
    <x v="0"/>
    <s v="Brand Awareness"/>
    <n v="175000"/>
  </r>
  <r>
    <x v="41"/>
    <x v="1"/>
    <x v="35"/>
    <x v="2"/>
    <x v="4"/>
    <n v="2033"/>
    <n v="420"/>
    <n v="94"/>
    <n v="56290"/>
    <n v="57391"/>
    <n v="196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42"/>
    <x v="2"/>
    <x v="36"/>
    <x v="2"/>
    <x v="6"/>
    <n v="2878"/>
    <n v="278"/>
    <n v="255"/>
    <n v="47235"/>
    <n v="57922"/>
    <n v="112"/>
    <x v="2"/>
    <x v="1"/>
    <x v="1"/>
    <d v="2024-06-03T00:00:00"/>
    <n v="1402"/>
    <n v="68"/>
    <n v="124562"/>
    <n v="9.92"/>
    <n v="23125"/>
    <x v="1"/>
    <x v="1"/>
    <s v="Product Launch"/>
    <n v="200000"/>
  </r>
  <r>
    <x v="43"/>
    <x v="1"/>
    <x v="36"/>
    <x v="2"/>
    <x v="6"/>
    <n v="2191"/>
    <n v="288"/>
    <n v="83"/>
    <n v="59606"/>
    <n v="24765"/>
    <n v="281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44"/>
    <x v="2"/>
    <x v="37"/>
    <x v="1"/>
    <x v="5"/>
    <n v="2319"/>
    <n v="484"/>
    <n v="193"/>
    <n v="21202"/>
    <n v="18091"/>
    <n v="241"/>
    <x v="3"/>
    <x v="2"/>
    <x v="3"/>
    <d v="2024-06-03T00:00:00"/>
    <n v="1402"/>
    <n v="68"/>
    <n v="124562"/>
    <n v="9.92"/>
    <n v="23125"/>
    <x v="3"/>
    <x v="3"/>
    <s v="Engagement"/>
    <n v="225000"/>
  </r>
  <r>
    <x v="45"/>
    <x v="0"/>
    <x v="38"/>
    <x v="0"/>
    <x v="0"/>
    <n v="1948"/>
    <n v="155"/>
    <n v="315"/>
    <n v="30321"/>
    <n v="57121"/>
    <n v="82"/>
    <x v="0"/>
    <x v="0"/>
    <x v="0"/>
    <d v="2024-06-03T00:00:00"/>
    <n v="1472"/>
    <n v="296"/>
    <n v="370242"/>
    <n v="7.72"/>
    <n v="7810"/>
    <x v="0"/>
    <x v="0"/>
    <s v="Brand Awareness"/>
    <n v="175000"/>
  </r>
  <r>
    <x v="46"/>
    <x v="0"/>
    <x v="39"/>
    <x v="2"/>
    <x v="8"/>
    <n v="2399"/>
    <n v="191"/>
    <n v="221"/>
    <n v="51603"/>
    <n v="40033"/>
    <n v="173"/>
    <x v="0"/>
    <x v="3"/>
    <x v="2"/>
    <d v="2024-06-03T00:00:00"/>
    <n v="1472"/>
    <n v="296"/>
    <n v="370242"/>
    <n v="7.72"/>
    <n v="7810"/>
    <x v="2"/>
    <x v="2"/>
    <s v="Traffic"/>
    <n v="160000"/>
  </r>
  <r>
    <x v="47"/>
    <x v="1"/>
    <x v="40"/>
    <x v="2"/>
    <x v="8"/>
    <n v="3276"/>
    <n v="421"/>
    <n v="114"/>
    <n v="20580"/>
    <n v="30324"/>
    <n v="221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48"/>
    <x v="2"/>
    <x v="40"/>
    <x v="2"/>
    <x v="1"/>
    <n v="1673"/>
    <n v="280"/>
    <n v="67"/>
    <n v="29847"/>
    <n v="48016"/>
    <n v="213"/>
    <x v="2"/>
    <x v="1"/>
    <x v="1"/>
    <d v="2024-06-03T00:00:00"/>
    <n v="1402"/>
    <n v="68"/>
    <n v="124562"/>
    <n v="9.92"/>
    <n v="23125"/>
    <x v="1"/>
    <x v="1"/>
    <s v="Product Launch"/>
    <n v="200000"/>
  </r>
  <r>
    <x v="49"/>
    <x v="0"/>
    <x v="41"/>
    <x v="0"/>
    <x v="7"/>
    <n v="4563"/>
    <n v="488"/>
    <n v="356"/>
    <n v="30619"/>
    <n v="23328"/>
    <n v="267"/>
    <x v="0"/>
    <x v="0"/>
    <x v="0"/>
    <d v="2024-06-03T00:00:00"/>
    <n v="1472"/>
    <n v="296"/>
    <n v="370242"/>
    <n v="7.72"/>
    <n v="7810"/>
    <x v="0"/>
    <x v="0"/>
    <s v="Brand Awareness"/>
    <n v="175000"/>
  </r>
  <r>
    <x v="50"/>
    <x v="1"/>
    <x v="42"/>
    <x v="1"/>
    <x v="2"/>
    <n v="2291"/>
    <n v="146"/>
    <n v="399"/>
    <n v="49319"/>
    <n v="28056"/>
    <n v="90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51"/>
    <x v="2"/>
    <x v="42"/>
    <x v="2"/>
    <x v="2"/>
    <n v="2762"/>
    <n v="339"/>
    <n v="323"/>
    <n v="33757"/>
    <n v="68511"/>
    <n v="121"/>
    <x v="2"/>
    <x v="1"/>
    <x v="1"/>
    <d v="2024-06-03T00:00:00"/>
    <n v="1402"/>
    <n v="68"/>
    <n v="124562"/>
    <n v="9.92"/>
    <n v="23125"/>
    <x v="1"/>
    <x v="1"/>
    <s v="Product Launch"/>
    <n v="200000"/>
  </r>
  <r>
    <x v="52"/>
    <x v="1"/>
    <x v="43"/>
    <x v="1"/>
    <x v="3"/>
    <n v="2857"/>
    <n v="443"/>
    <n v="359"/>
    <n v="51519"/>
    <n v="28256"/>
    <n v="155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53"/>
    <x v="1"/>
    <x v="43"/>
    <x v="1"/>
    <x v="4"/>
    <n v="4965"/>
    <n v="175"/>
    <n v="307"/>
    <n v="32793"/>
    <n v="43412"/>
    <n v="296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54"/>
    <x v="2"/>
    <x v="43"/>
    <x v="2"/>
    <x v="4"/>
    <n v="4383"/>
    <n v="352"/>
    <n v="176"/>
    <n v="53239"/>
    <n v="34168"/>
    <n v="288"/>
    <x v="0"/>
    <x v="2"/>
    <x v="2"/>
    <d v="2024-06-03T00:00:00"/>
    <n v="1402"/>
    <n v="68"/>
    <n v="124562"/>
    <n v="9.92"/>
    <n v="23125"/>
    <x v="2"/>
    <x v="2"/>
    <s v="Traffic"/>
    <n v="160000"/>
  </r>
  <r>
    <x v="55"/>
    <x v="0"/>
    <x v="44"/>
    <x v="2"/>
    <x v="8"/>
    <n v="2748"/>
    <n v="145"/>
    <n v="315"/>
    <n v="24401"/>
    <n v="61182"/>
    <n v="200"/>
    <x v="0"/>
    <x v="3"/>
    <x v="2"/>
    <d v="2024-06-03T00:00:00"/>
    <n v="1472"/>
    <n v="296"/>
    <n v="370242"/>
    <n v="7.72"/>
    <n v="7810"/>
    <x v="2"/>
    <x v="2"/>
    <s v="Traffic"/>
    <n v="160000"/>
  </r>
  <r>
    <x v="56"/>
    <x v="2"/>
    <x v="45"/>
    <x v="1"/>
    <x v="9"/>
    <n v="1558"/>
    <n v="352"/>
    <n v="202"/>
    <n v="25405"/>
    <n v="69941"/>
    <n v="219"/>
    <x v="3"/>
    <x v="2"/>
    <x v="3"/>
    <d v="2024-06-03T00:00:00"/>
    <n v="1402"/>
    <n v="68"/>
    <n v="124562"/>
    <n v="9.92"/>
    <n v="23125"/>
    <x v="3"/>
    <x v="3"/>
    <s v="Engagement"/>
    <n v="225000"/>
  </r>
  <r>
    <x v="57"/>
    <x v="1"/>
    <x v="46"/>
    <x v="1"/>
    <x v="5"/>
    <n v="1295"/>
    <n v="153"/>
    <n v="81"/>
    <n v="48350"/>
    <n v="61033"/>
    <n v="232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58"/>
    <x v="0"/>
    <x v="47"/>
    <x v="2"/>
    <x v="5"/>
    <n v="4674"/>
    <n v="326"/>
    <n v="62"/>
    <n v="45503"/>
    <n v="46814"/>
    <n v="116"/>
    <x v="0"/>
    <x v="3"/>
    <x v="2"/>
    <d v="2024-06-03T00:00:00"/>
    <n v="1472"/>
    <n v="296"/>
    <n v="370242"/>
    <n v="7.72"/>
    <n v="7810"/>
    <x v="2"/>
    <x v="2"/>
    <s v="Traffic"/>
    <n v="160000"/>
  </r>
  <r>
    <x v="59"/>
    <x v="0"/>
    <x v="48"/>
    <x v="2"/>
    <x v="0"/>
    <n v="4023"/>
    <n v="293"/>
    <n v="91"/>
    <n v="26795"/>
    <n v="28924"/>
    <n v="278"/>
    <x v="0"/>
    <x v="3"/>
    <x v="2"/>
    <d v="2024-06-03T00:00:00"/>
    <n v="1472"/>
    <n v="296"/>
    <n v="370242"/>
    <n v="7.72"/>
    <n v="7810"/>
    <x v="2"/>
    <x v="2"/>
    <s v="Traffic"/>
    <n v="160000"/>
  </r>
  <r>
    <x v="60"/>
    <x v="2"/>
    <x v="49"/>
    <x v="2"/>
    <x v="4"/>
    <n v="4001"/>
    <n v="353"/>
    <n v="129"/>
    <n v="41265"/>
    <n v="37279"/>
    <n v="275"/>
    <x v="2"/>
    <x v="1"/>
    <x v="1"/>
    <d v="2024-06-03T00:00:00"/>
    <n v="1402"/>
    <n v="68"/>
    <n v="124562"/>
    <n v="9.92"/>
    <n v="23125"/>
    <x v="1"/>
    <x v="1"/>
    <s v="Product Launch"/>
    <n v="200000"/>
  </r>
  <r>
    <x v="61"/>
    <x v="1"/>
    <x v="50"/>
    <x v="1"/>
    <x v="5"/>
    <n v="2683"/>
    <n v="496"/>
    <n v="89"/>
    <n v="53435"/>
    <n v="30334"/>
    <n v="160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62"/>
    <x v="2"/>
    <x v="51"/>
    <x v="2"/>
    <x v="8"/>
    <n v="3563"/>
    <n v="483"/>
    <n v="227"/>
    <n v="41085"/>
    <n v="26393"/>
    <n v="236"/>
    <x v="2"/>
    <x v="1"/>
    <x v="1"/>
    <d v="2024-06-03T00:00:00"/>
    <n v="1402"/>
    <n v="68"/>
    <n v="124562"/>
    <n v="9.92"/>
    <n v="23125"/>
    <x v="1"/>
    <x v="1"/>
    <s v="Product Launch"/>
    <n v="200000"/>
  </r>
  <r>
    <x v="63"/>
    <x v="2"/>
    <x v="52"/>
    <x v="2"/>
    <x v="9"/>
    <n v="3359"/>
    <n v="137"/>
    <n v="387"/>
    <n v="33861"/>
    <n v="47257"/>
    <n v="198"/>
    <x v="0"/>
    <x v="2"/>
    <x v="2"/>
    <d v="2024-06-03T00:00:00"/>
    <n v="1402"/>
    <n v="68"/>
    <n v="124562"/>
    <n v="9.92"/>
    <n v="23125"/>
    <x v="2"/>
    <x v="2"/>
    <s v="Traffic"/>
    <n v="160000"/>
  </r>
  <r>
    <x v="64"/>
    <x v="1"/>
    <x v="52"/>
    <x v="1"/>
    <x v="1"/>
    <n v="2587"/>
    <n v="447"/>
    <n v="183"/>
    <n v="36266"/>
    <n v="32877"/>
    <n v="132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65"/>
    <x v="2"/>
    <x v="53"/>
    <x v="2"/>
    <x v="3"/>
    <n v="2274"/>
    <n v="243"/>
    <n v="222"/>
    <n v="43066"/>
    <n v="59174"/>
    <n v="80"/>
    <x v="0"/>
    <x v="2"/>
    <x v="2"/>
    <d v="2024-06-03T00:00:00"/>
    <n v="1402"/>
    <n v="68"/>
    <n v="124562"/>
    <n v="9.92"/>
    <n v="23125"/>
    <x v="2"/>
    <x v="2"/>
    <s v="Traffic"/>
    <n v="160000"/>
  </r>
  <r>
    <x v="66"/>
    <x v="1"/>
    <x v="54"/>
    <x v="2"/>
    <x v="7"/>
    <n v="3476"/>
    <n v="355"/>
    <n v="396"/>
    <n v="37492"/>
    <n v="27285"/>
    <n v="179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67"/>
    <x v="1"/>
    <x v="55"/>
    <x v="1"/>
    <x v="0"/>
    <n v="2776"/>
    <n v="307"/>
    <n v="178"/>
    <n v="43365"/>
    <n v="48408"/>
    <n v="138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68"/>
    <x v="1"/>
    <x v="56"/>
    <x v="2"/>
    <x v="0"/>
    <n v="1828"/>
    <n v="450"/>
    <n v="214"/>
    <n v="52115"/>
    <n v="19166"/>
    <n v="190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69"/>
    <x v="2"/>
    <x v="56"/>
    <x v="1"/>
    <x v="8"/>
    <n v="2414"/>
    <n v="220"/>
    <n v="280"/>
    <n v="27355"/>
    <n v="50562"/>
    <n v="258"/>
    <x v="3"/>
    <x v="2"/>
    <x v="3"/>
    <d v="2024-06-03T00:00:00"/>
    <n v="1402"/>
    <n v="68"/>
    <n v="124562"/>
    <n v="9.92"/>
    <n v="23125"/>
    <x v="3"/>
    <x v="3"/>
    <s v="Engagement"/>
    <n v="225000"/>
  </r>
  <r>
    <x v="70"/>
    <x v="1"/>
    <x v="57"/>
    <x v="1"/>
    <x v="3"/>
    <n v="1428"/>
    <n v="347"/>
    <n v="67"/>
    <n v="21148"/>
    <n v="19712"/>
    <n v="120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71"/>
    <x v="1"/>
    <x v="57"/>
    <x v="1"/>
    <x v="4"/>
    <n v="3277"/>
    <n v="423"/>
    <n v="259"/>
    <n v="46328"/>
    <n v="44293"/>
    <n v="299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72"/>
    <x v="1"/>
    <x v="58"/>
    <x v="1"/>
    <x v="0"/>
    <n v="2784"/>
    <n v="111"/>
    <n v="399"/>
    <n v="58366"/>
    <n v="69512"/>
    <n v="269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73"/>
    <x v="0"/>
    <x v="59"/>
    <x v="2"/>
    <x v="6"/>
    <n v="2911"/>
    <n v="467"/>
    <n v="94"/>
    <n v="59083"/>
    <n v="49762"/>
    <n v="236"/>
    <x v="0"/>
    <x v="3"/>
    <x v="2"/>
    <d v="2024-06-03T00:00:00"/>
    <n v="1472"/>
    <n v="296"/>
    <n v="370242"/>
    <n v="7.72"/>
    <n v="7810"/>
    <x v="2"/>
    <x v="2"/>
    <s v="Traffic"/>
    <n v="160000"/>
  </r>
  <r>
    <x v="74"/>
    <x v="0"/>
    <x v="60"/>
    <x v="0"/>
    <x v="0"/>
    <n v="4161"/>
    <n v="481"/>
    <n v="61"/>
    <n v="45884"/>
    <n v="48955"/>
    <n v="215"/>
    <x v="0"/>
    <x v="0"/>
    <x v="0"/>
    <d v="2024-06-03T00:00:00"/>
    <n v="1472"/>
    <n v="296"/>
    <n v="370242"/>
    <n v="7.72"/>
    <n v="7810"/>
    <x v="0"/>
    <x v="0"/>
    <s v="Brand Awareness"/>
    <n v="175000"/>
  </r>
  <r>
    <x v="75"/>
    <x v="2"/>
    <x v="61"/>
    <x v="2"/>
    <x v="5"/>
    <n v="1485"/>
    <n v="353"/>
    <n v="244"/>
    <n v="38419"/>
    <n v="38556"/>
    <n v="86"/>
    <x v="2"/>
    <x v="1"/>
    <x v="1"/>
    <d v="2024-06-03T00:00:00"/>
    <n v="1402"/>
    <n v="68"/>
    <n v="124562"/>
    <n v="9.92"/>
    <n v="23125"/>
    <x v="1"/>
    <x v="1"/>
    <s v="Product Launch"/>
    <n v="200000"/>
  </r>
  <r>
    <x v="76"/>
    <x v="1"/>
    <x v="62"/>
    <x v="1"/>
    <x v="8"/>
    <n v="2023"/>
    <n v="124"/>
    <n v="99"/>
    <n v="54524"/>
    <n v="34790"/>
    <n v="195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77"/>
    <x v="1"/>
    <x v="63"/>
    <x v="1"/>
    <x v="9"/>
    <n v="1763"/>
    <n v="206"/>
    <n v="187"/>
    <n v="53342"/>
    <n v="25095"/>
    <n v="88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78"/>
    <x v="0"/>
    <x v="64"/>
    <x v="2"/>
    <x v="6"/>
    <n v="1488"/>
    <n v="327"/>
    <n v="110"/>
    <n v="53805"/>
    <n v="30239"/>
    <n v="109"/>
    <x v="0"/>
    <x v="3"/>
    <x v="2"/>
    <d v="2024-06-03T00:00:00"/>
    <n v="1472"/>
    <n v="296"/>
    <n v="370242"/>
    <n v="7.72"/>
    <n v="7810"/>
    <x v="2"/>
    <x v="2"/>
    <s v="Traffic"/>
    <n v="160000"/>
  </r>
  <r>
    <x v="79"/>
    <x v="2"/>
    <x v="65"/>
    <x v="1"/>
    <x v="9"/>
    <n v="2448"/>
    <n v="464"/>
    <n v="98"/>
    <n v="25737"/>
    <n v="48545"/>
    <n v="246"/>
    <x v="3"/>
    <x v="2"/>
    <x v="3"/>
    <d v="2024-06-03T00:00:00"/>
    <n v="1402"/>
    <n v="68"/>
    <n v="124562"/>
    <n v="9.92"/>
    <n v="23125"/>
    <x v="3"/>
    <x v="3"/>
    <s v="Engagement"/>
    <n v="225000"/>
  </r>
  <r>
    <x v="80"/>
    <x v="1"/>
    <x v="65"/>
    <x v="1"/>
    <x v="7"/>
    <n v="2311"/>
    <n v="207"/>
    <n v="363"/>
    <n v="30349"/>
    <n v="32925"/>
    <n v="88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81"/>
    <x v="0"/>
    <x v="65"/>
    <x v="0"/>
    <x v="1"/>
    <n v="1060"/>
    <n v="442"/>
    <n v="319"/>
    <n v="57194"/>
    <n v="24258"/>
    <n v="101"/>
    <x v="0"/>
    <x v="0"/>
    <x v="0"/>
    <d v="2024-06-03T00:00:00"/>
    <n v="1472"/>
    <n v="296"/>
    <n v="370242"/>
    <n v="7.72"/>
    <n v="7810"/>
    <x v="0"/>
    <x v="0"/>
    <s v="Brand Awareness"/>
    <n v="175000"/>
  </r>
  <r>
    <x v="82"/>
    <x v="2"/>
    <x v="66"/>
    <x v="2"/>
    <x v="9"/>
    <n v="3948"/>
    <n v="151"/>
    <n v="249"/>
    <n v="43147"/>
    <n v="63136"/>
    <n v="230"/>
    <x v="0"/>
    <x v="2"/>
    <x v="2"/>
    <d v="2024-06-03T00:00:00"/>
    <n v="1402"/>
    <n v="68"/>
    <n v="124562"/>
    <n v="9.92"/>
    <n v="23125"/>
    <x v="2"/>
    <x v="2"/>
    <s v="Traffic"/>
    <n v="160000"/>
  </r>
  <r>
    <x v="83"/>
    <x v="0"/>
    <x v="66"/>
    <x v="0"/>
    <x v="3"/>
    <n v="1211"/>
    <n v="431"/>
    <n v="83"/>
    <n v="26532"/>
    <n v="47305"/>
    <n v="232"/>
    <x v="0"/>
    <x v="0"/>
    <x v="0"/>
    <d v="2024-06-03T00:00:00"/>
    <n v="1472"/>
    <n v="296"/>
    <n v="370242"/>
    <n v="7.72"/>
    <n v="7810"/>
    <x v="0"/>
    <x v="0"/>
    <s v="Brand Awareness"/>
    <n v="175000"/>
  </r>
  <r>
    <x v="84"/>
    <x v="1"/>
    <x v="67"/>
    <x v="1"/>
    <x v="2"/>
    <n v="3413"/>
    <n v="326"/>
    <n v="86"/>
    <n v="44680"/>
    <n v="52719"/>
    <n v="272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85"/>
    <x v="0"/>
    <x v="68"/>
    <x v="0"/>
    <x v="6"/>
    <n v="2786"/>
    <n v="368"/>
    <n v="208"/>
    <n v="42000"/>
    <n v="39967"/>
    <n v="103"/>
    <x v="0"/>
    <x v="0"/>
    <x v="0"/>
    <d v="2024-06-03T00:00:00"/>
    <n v="1472"/>
    <n v="296"/>
    <n v="370242"/>
    <n v="7.72"/>
    <n v="7810"/>
    <x v="0"/>
    <x v="0"/>
    <s v="Brand Awareness"/>
    <n v="175000"/>
  </r>
  <r>
    <x v="86"/>
    <x v="1"/>
    <x v="69"/>
    <x v="2"/>
    <x v="1"/>
    <n v="1514"/>
    <n v="164"/>
    <n v="275"/>
    <n v="41364"/>
    <n v="44389"/>
    <n v="83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87"/>
    <x v="0"/>
    <x v="70"/>
    <x v="2"/>
    <x v="1"/>
    <n v="3882"/>
    <n v="239"/>
    <n v="275"/>
    <n v="58748"/>
    <n v="44646"/>
    <n v="149"/>
    <x v="0"/>
    <x v="3"/>
    <x v="2"/>
    <d v="2024-06-03T00:00:00"/>
    <n v="1472"/>
    <n v="296"/>
    <n v="370242"/>
    <n v="7.72"/>
    <n v="7810"/>
    <x v="2"/>
    <x v="2"/>
    <s v="Traffic"/>
    <n v="160000"/>
  </r>
  <r>
    <x v="88"/>
    <x v="0"/>
    <x v="71"/>
    <x v="0"/>
    <x v="3"/>
    <n v="4722"/>
    <n v="310"/>
    <n v="344"/>
    <n v="27911"/>
    <n v="19000"/>
    <n v="225"/>
    <x v="0"/>
    <x v="0"/>
    <x v="0"/>
    <d v="2024-06-03T00:00:00"/>
    <n v="1472"/>
    <n v="296"/>
    <n v="370242"/>
    <n v="7.72"/>
    <n v="7810"/>
    <x v="0"/>
    <x v="0"/>
    <s v="Brand Awareness"/>
    <n v="175000"/>
  </r>
  <r>
    <x v="89"/>
    <x v="0"/>
    <x v="72"/>
    <x v="0"/>
    <x v="9"/>
    <n v="1751"/>
    <n v="143"/>
    <n v="151"/>
    <n v="31826"/>
    <n v="47729"/>
    <n v="95"/>
    <x v="0"/>
    <x v="0"/>
    <x v="0"/>
    <d v="2024-06-03T00:00:00"/>
    <n v="1472"/>
    <n v="296"/>
    <n v="370242"/>
    <n v="7.72"/>
    <n v="7810"/>
    <x v="0"/>
    <x v="0"/>
    <s v="Brand Awareness"/>
    <n v="175000"/>
  </r>
  <r>
    <x v="90"/>
    <x v="1"/>
    <x v="73"/>
    <x v="1"/>
    <x v="0"/>
    <n v="4618"/>
    <n v="312"/>
    <n v="254"/>
    <n v="22571"/>
    <n v="29453"/>
    <n v="197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91"/>
    <x v="2"/>
    <x v="74"/>
    <x v="2"/>
    <x v="5"/>
    <n v="4283"/>
    <n v="471"/>
    <n v="156"/>
    <n v="53004"/>
    <n v="25678"/>
    <n v="105"/>
    <x v="0"/>
    <x v="2"/>
    <x v="2"/>
    <d v="2024-06-03T00:00:00"/>
    <n v="1402"/>
    <n v="68"/>
    <n v="124562"/>
    <n v="9.92"/>
    <n v="23125"/>
    <x v="2"/>
    <x v="2"/>
    <s v="Traffic"/>
    <n v="160000"/>
  </r>
  <r>
    <x v="92"/>
    <x v="1"/>
    <x v="75"/>
    <x v="2"/>
    <x v="1"/>
    <n v="1224"/>
    <n v="168"/>
    <n v="199"/>
    <n v="54232"/>
    <n v="52844"/>
    <n v="271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93"/>
    <x v="0"/>
    <x v="76"/>
    <x v="0"/>
    <x v="8"/>
    <n v="4621"/>
    <n v="374"/>
    <n v="298"/>
    <n v="56979"/>
    <n v="24098"/>
    <n v="205"/>
    <x v="0"/>
    <x v="0"/>
    <x v="0"/>
    <d v="2024-06-03T00:00:00"/>
    <n v="1472"/>
    <n v="296"/>
    <n v="370242"/>
    <n v="7.72"/>
    <n v="7810"/>
    <x v="0"/>
    <x v="0"/>
    <s v="Brand Awareness"/>
    <n v="175000"/>
  </r>
  <r>
    <x v="94"/>
    <x v="0"/>
    <x v="77"/>
    <x v="2"/>
    <x v="7"/>
    <n v="2172"/>
    <n v="338"/>
    <n v="70"/>
    <n v="30515"/>
    <n v="57853"/>
    <n v="156"/>
    <x v="0"/>
    <x v="3"/>
    <x v="2"/>
    <d v="2024-06-03T00:00:00"/>
    <n v="1472"/>
    <n v="296"/>
    <n v="370242"/>
    <n v="7.72"/>
    <n v="7810"/>
    <x v="2"/>
    <x v="2"/>
    <s v="Traffic"/>
    <n v="160000"/>
  </r>
  <r>
    <x v="95"/>
    <x v="2"/>
    <x v="78"/>
    <x v="2"/>
    <x v="4"/>
    <n v="3253"/>
    <n v="483"/>
    <n v="336"/>
    <n v="25397"/>
    <n v="51485"/>
    <n v="131"/>
    <x v="0"/>
    <x v="2"/>
    <x v="2"/>
    <d v="2024-06-03T00:00:00"/>
    <n v="1402"/>
    <n v="68"/>
    <n v="124562"/>
    <n v="9.92"/>
    <n v="23125"/>
    <x v="2"/>
    <x v="2"/>
    <s v="Traffic"/>
    <n v="160000"/>
  </r>
  <r>
    <x v="96"/>
    <x v="2"/>
    <x v="79"/>
    <x v="2"/>
    <x v="7"/>
    <n v="2088"/>
    <n v="490"/>
    <n v="124"/>
    <n v="46544"/>
    <n v="69346"/>
    <n v="178"/>
    <x v="2"/>
    <x v="1"/>
    <x v="1"/>
    <d v="2024-06-03T00:00:00"/>
    <n v="1402"/>
    <n v="68"/>
    <n v="124562"/>
    <n v="9.92"/>
    <n v="23125"/>
    <x v="1"/>
    <x v="1"/>
    <s v="Product Launch"/>
    <n v="200000"/>
  </r>
  <r>
    <x v="97"/>
    <x v="2"/>
    <x v="80"/>
    <x v="2"/>
    <x v="2"/>
    <n v="3469"/>
    <n v="371"/>
    <n v="76"/>
    <n v="46493"/>
    <n v="26906"/>
    <n v="150"/>
    <x v="2"/>
    <x v="1"/>
    <x v="1"/>
    <d v="2024-06-03T00:00:00"/>
    <n v="1402"/>
    <n v="68"/>
    <n v="124562"/>
    <n v="9.92"/>
    <n v="23125"/>
    <x v="1"/>
    <x v="1"/>
    <s v="Product Launch"/>
    <n v="200000"/>
  </r>
  <r>
    <x v="98"/>
    <x v="2"/>
    <x v="81"/>
    <x v="2"/>
    <x v="7"/>
    <n v="3753"/>
    <n v="411"/>
    <n v="308"/>
    <n v="29138"/>
    <n v="27678"/>
    <n v="90"/>
    <x v="0"/>
    <x v="2"/>
    <x v="2"/>
    <d v="2024-06-03T00:00:00"/>
    <n v="1402"/>
    <n v="68"/>
    <n v="124562"/>
    <n v="9.92"/>
    <n v="23125"/>
    <x v="2"/>
    <x v="2"/>
    <s v="Traffic"/>
    <n v="160000"/>
  </r>
  <r>
    <x v="99"/>
    <x v="1"/>
    <x v="82"/>
    <x v="2"/>
    <x v="4"/>
    <n v="1035"/>
    <n v="137"/>
    <n v="184"/>
    <n v="37302"/>
    <n v="68953"/>
    <n v="237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00"/>
    <x v="1"/>
    <x v="82"/>
    <x v="2"/>
    <x v="1"/>
    <n v="1848"/>
    <n v="417"/>
    <n v="294"/>
    <n v="57819"/>
    <n v="19798"/>
    <n v="262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01"/>
    <x v="1"/>
    <x v="83"/>
    <x v="1"/>
    <x v="2"/>
    <n v="2981"/>
    <n v="258"/>
    <n v="168"/>
    <n v="20677"/>
    <n v="68290"/>
    <n v="130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102"/>
    <x v="1"/>
    <x v="83"/>
    <x v="1"/>
    <x v="3"/>
    <n v="2304"/>
    <n v="289"/>
    <n v="161"/>
    <n v="52645"/>
    <n v="66262"/>
    <n v="146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03"/>
    <x v="1"/>
    <x v="84"/>
    <x v="1"/>
    <x v="9"/>
    <n v="4247"/>
    <n v="179"/>
    <n v="175"/>
    <n v="32991"/>
    <n v="70120"/>
    <n v="276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104"/>
    <x v="1"/>
    <x v="85"/>
    <x v="1"/>
    <x v="9"/>
    <n v="2408"/>
    <n v="323"/>
    <n v="251"/>
    <n v="47599"/>
    <n v="35543"/>
    <n v="287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05"/>
    <x v="2"/>
    <x v="86"/>
    <x v="2"/>
    <x v="3"/>
    <n v="2464"/>
    <n v="401"/>
    <n v="78"/>
    <n v="38665"/>
    <n v="73593"/>
    <n v="207"/>
    <x v="0"/>
    <x v="2"/>
    <x v="2"/>
    <d v="2024-06-03T00:00:00"/>
    <n v="1402"/>
    <n v="68"/>
    <n v="124562"/>
    <n v="9.92"/>
    <n v="23125"/>
    <x v="2"/>
    <x v="2"/>
    <s v="Traffic"/>
    <n v="160000"/>
  </r>
  <r>
    <x v="106"/>
    <x v="0"/>
    <x v="86"/>
    <x v="2"/>
    <x v="7"/>
    <n v="3806"/>
    <n v="114"/>
    <n v="278"/>
    <n v="36148"/>
    <n v="24209"/>
    <n v="201"/>
    <x v="0"/>
    <x v="3"/>
    <x v="2"/>
    <d v="2024-06-03T00:00:00"/>
    <n v="1472"/>
    <n v="296"/>
    <n v="370242"/>
    <n v="7.72"/>
    <n v="7810"/>
    <x v="2"/>
    <x v="2"/>
    <s v="Traffic"/>
    <n v="160000"/>
  </r>
  <r>
    <x v="107"/>
    <x v="1"/>
    <x v="87"/>
    <x v="2"/>
    <x v="2"/>
    <n v="1803"/>
    <n v="273"/>
    <n v="287"/>
    <n v="46176"/>
    <n v="25488"/>
    <n v="141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08"/>
    <x v="0"/>
    <x v="88"/>
    <x v="2"/>
    <x v="2"/>
    <n v="3135"/>
    <n v="110"/>
    <n v="215"/>
    <n v="39192"/>
    <n v="24744"/>
    <n v="177"/>
    <x v="0"/>
    <x v="3"/>
    <x v="2"/>
    <d v="2024-06-03T00:00:00"/>
    <n v="1472"/>
    <n v="296"/>
    <n v="370242"/>
    <n v="7.72"/>
    <n v="7810"/>
    <x v="2"/>
    <x v="2"/>
    <s v="Traffic"/>
    <n v="160000"/>
  </r>
  <r>
    <x v="109"/>
    <x v="1"/>
    <x v="89"/>
    <x v="1"/>
    <x v="1"/>
    <n v="3071"/>
    <n v="126"/>
    <n v="200"/>
    <n v="44013"/>
    <n v="44679"/>
    <n v="118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10"/>
    <x v="0"/>
    <x v="90"/>
    <x v="0"/>
    <x v="8"/>
    <n v="4955"/>
    <n v="299"/>
    <n v="345"/>
    <n v="33644"/>
    <n v="43547"/>
    <n v="194"/>
    <x v="0"/>
    <x v="0"/>
    <x v="0"/>
    <d v="2024-06-03T00:00:00"/>
    <n v="1472"/>
    <n v="296"/>
    <n v="370242"/>
    <n v="7.72"/>
    <n v="7810"/>
    <x v="0"/>
    <x v="0"/>
    <s v="Brand Awareness"/>
    <n v="175000"/>
  </r>
  <r>
    <x v="111"/>
    <x v="2"/>
    <x v="91"/>
    <x v="2"/>
    <x v="5"/>
    <n v="3004"/>
    <n v="415"/>
    <n v="218"/>
    <n v="36090"/>
    <n v="37073"/>
    <n v="181"/>
    <x v="0"/>
    <x v="2"/>
    <x v="2"/>
    <d v="2024-06-03T00:00:00"/>
    <n v="1402"/>
    <n v="68"/>
    <n v="124562"/>
    <n v="9.92"/>
    <n v="23125"/>
    <x v="2"/>
    <x v="2"/>
    <s v="Traffic"/>
    <n v="160000"/>
  </r>
  <r>
    <x v="112"/>
    <x v="1"/>
    <x v="92"/>
    <x v="1"/>
    <x v="3"/>
    <n v="3336"/>
    <n v="229"/>
    <n v="337"/>
    <n v="22117"/>
    <n v="26205"/>
    <n v="160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13"/>
    <x v="1"/>
    <x v="93"/>
    <x v="2"/>
    <x v="2"/>
    <n v="3204"/>
    <n v="398"/>
    <n v="85"/>
    <n v="22020"/>
    <n v="58353"/>
    <n v="286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14"/>
    <x v="1"/>
    <x v="94"/>
    <x v="2"/>
    <x v="7"/>
    <n v="4247"/>
    <n v="390"/>
    <n v="213"/>
    <n v="29785"/>
    <n v="57768"/>
    <n v="122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15"/>
    <x v="0"/>
    <x v="95"/>
    <x v="2"/>
    <x v="6"/>
    <n v="1994"/>
    <n v="197"/>
    <n v="290"/>
    <n v="49500"/>
    <n v="23343"/>
    <n v="160"/>
    <x v="0"/>
    <x v="3"/>
    <x v="2"/>
    <d v="2024-06-03T00:00:00"/>
    <n v="1472"/>
    <n v="296"/>
    <n v="370242"/>
    <n v="7.72"/>
    <n v="7810"/>
    <x v="2"/>
    <x v="2"/>
    <s v="Traffic"/>
    <n v="160000"/>
  </r>
  <r>
    <x v="116"/>
    <x v="0"/>
    <x v="96"/>
    <x v="0"/>
    <x v="6"/>
    <n v="3414"/>
    <n v="154"/>
    <n v="204"/>
    <n v="34146"/>
    <n v="44633"/>
    <n v="256"/>
    <x v="0"/>
    <x v="0"/>
    <x v="0"/>
    <d v="2024-06-03T00:00:00"/>
    <n v="1472"/>
    <n v="296"/>
    <n v="370242"/>
    <n v="7.72"/>
    <n v="7810"/>
    <x v="0"/>
    <x v="0"/>
    <s v="Brand Awareness"/>
    <n v="175000"/>
  </r>
  <r>
    <x v="117"/>
    <x v="1"/>
    <x v="96"/>
    <x v="1"/>
    <x v="6"/>
    <n v="4877"/>
    <n v="442"/>
    <n v="236"/>
    <n v="52673"/>
    <n v="48241"/>
    <n v="114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18"/>
    <x v="0"/>
    <x v="97"/>
    <x v="2"/>
    <x v="6"/>
    <n v="1105"/>
    <n v="181"/>
    <n v="55"/>
    <n v="53581"/>
    <n v="74048"/>
    <n v="220"/>
    <x v="0"/>
    <x v="3"/>
    <x v="2"/>
    <d v="2024-06-03T00:00:00"/>
    <n v="1472"/>
    <n v="296"/>
    <n v="370242"/>
    <n v="7.72"/>
    <n v="7810"/>
    <x v="2"/>
    <x v="2"/>
    <s v="Traffic"/>
    <n v="160000"/>
  </r>
  <r>
    <x v="119"/>
    <x v="2"/>
    <x v="98"/>
    <x v="1"/>
    <x v="5"/>
    <n v="2962"/>
    <n v="400"/>
    <n v="280"/>
    <n v="52508"/>
    <n v="58329"/>
    <n v="219"/>
    <x v="3"/>
    <x v="2"/>
    <x v="3"/>
    <d v="2024-06-03T00:00:00"/>
    <n v="1402"/>
    <n v="68"/>
    <n v="124562"/>
    <n v="9.92"/>
    <n v="23125"/>
    <x v="3"/>
    <x v="3"/>
    <s v="Engagement"/>
    <n v="225000"/>
  </r>
  <r>
    <x v="120"/>
    <x v="1"/>
    <x v="98"/>
    <x v="1"/>
    <x v="1"/>
    <n v="2842"/>
    <n v="213"/>
    <n v="331"/>
    <n v="57660"/>
    <n v="68606"/>
    <n v="87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21"/>
    <x v="1"/>
    <x v="99"/>
    <x v="2"/>
    <x v="0"/>
    <n v="3418"/>
    <n v="107"/>
    <n v="221"/>
    <n v="23927"/>
    <n v="26182"/>
    <n v="155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22"/>
    <x v="2"/>
    <x v="100"/>
    <x v="2"/>
    <x v="0"/>
    <n v="2965"/>
    <n v="328"/>
    <n v="171"/>
    <n v="57685"/>
    <n v="67536"/>
    <n v="264"/>
    <x v="2"/>
    <x v="1"/>
    <x v="1"/>
    <d v="2024-06-03T00:00:00"/>
    <n v="1402"/>
    <n v="68"/>
    <n v="124562"/>
    <n v="9.92"/>
    <n v="23125"/>
    <x v="1"/>
    <x v="1"/>
    <s v="Product Launch"/>
    <n v="200000"/>
  </r>
  <r>
    <x v="123"/>
    <x v="1"/>
    <x v="101"/>
    <x v="1"/>
    <x v="0"/>
    <n v="3989"/>
    <n v="476"/>
    <n v="128"/>
    <n v="57569"/>
    <n v="40193"/>
    <n v="222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24"/>
    <x v="2"/>
    <x v="102"/>
    <x v="2"/>
    <x v="7"/>
    <n v="2102"/>
    <n v="181"/>
    <n v="306"/>
    <n v="43650"/>
    <n v="50079"/>
    <n v="182"/>
    <x v="0"/>
    <x v="2"/>
    <x v="2"/>
    <d v="2024-06-03T00:00:00"/>
    <n v="1402"/>
    <n v="68"/>
    <n v="124562"/>
    <n v="9.92"/>
    <n v="23125"/>
    <x v="2"/>
    <x v="2"/>
    <s v="Traffic"/>
    <n v="160000"/>
  </r>
  <r>
    <x v="125"/>
    <x v="2"/>
    <x v="103"/>
    <x v="2"/>
    <x v="8"/>
    <n v="4197"/>
    <n v="359"/>
    <n v="280"/>
    <n v="56048"/>
    <n v="70930"/>
    <n v="295"/>
    <x v="0"/>
    <x v="2"/>
    <x v="2"/>
    <d v="2024-06-03T00:00:00"/>
    <n v="1402"/>
    <n v="68"/>
    <n v="124562"/>
    <n v="9.92"/>
    <n v="23125"/>
    <x v="2"/>
    <x v="2"/>
    <s v="Traffic"/>
    <n v="160000"/>
  </r>
  <r>
    <x v="126"/>
    <x v="1"/>
    <x v="103"/>
    <x v="1"/>
    <x v="4"/>
    <n v="1856"/>
    <n v="357"/>
    <n v="348"/>
    <n v="29428"/>
    <n v="70206"/>
    <n v="236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27"/>
    <x v="0"/>
    <x v="104"/>
    <x v="2"/>
    <x v="3"/>
    <n v="4774"/>
    <n v="389"/>
    <n v="358"/>
    <n v="52346"/>
    <n v="30518"/>
    <n v="277"/>
    <x v="0"/>
    <x v="3"/>
    <x v="2"/>
    <d v="2024-06-03T00:00:00"/>
    <n v="1472"/>
    <n v="296"/>
    <n v="370242"/>
    <n v="7.72"/>
    <n v="7810"/>
    <x v="2"/>
    <x v="2"/>
    <s v="Traffic"/>
    <n v="160000"/>
  </r>
  <r>
    <x v="128"/>
    <x v="1"/>
    <x v="104"/>
    <x v="1"/>
    <x v="9"/>
    <n v="4276"/>
    <n v="227"/>
    <n v="223"/>
    <n v="43443"/>
    <n v="41005"/>
    <n v="191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29"/>
    <x v="2"/>
    <x v="105"/>
    <x v="1"/>
    <x v="3"/>
    <n v="2335"/>
    <n v="150"/>
    <n v="75"/>
    <n v="26114"/>
    <n v="57549"/>
    <n v="135"/>
    <x v="3"/>
    <x v="2"/>
    <x v="3"/>
    <d v="2024-06-03T00:00:00"/>
    <n v="1402"/>
    <n v="68"/>
    <n v="124562"/>
    <n v="9.92"/>
    <n v="23125"/>
    <x v="3"/>
    <x v="3"/>
    <s v="Engagement"/>
    <n v="225000"/>
  </r>
  <r>
    <x v="130"/>
    <x v="0"/>
    <x v="106"/>
    <x v="0"/>
    <x v="1"/>
    <n v="1437"/>
    <n v="494"/>
    <n v="129"/>
    <n v="53048"/>
    <n v="44090"/>
    <n v="230"/>
    <x v="0"/>
    <x v="0"/>
    <x v="0"/>
    <d v="2024-06-03T00:00:00"/>
    <n v="1472"/>
    <n v="296"/>
    <n v="370242"/>
    <n v="7.72"/>
    <n v="7810"/>
    <x v="0"/>
    <x v="0"/>
    <s v="Brand Awareness"/>
    <n v="175000"/>
  </r>
  <r>
    <x v="131"/>
    <x v="1"/>
    <x v="107"/>
    <x v="1"/>
    <x v="4"/>
    <n v="2613"/>
    <n v="455"/>
    <n v="228"/>
    <n v="21645"/>
    <n v="61334"/>
    <n v="261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32"/>
    <x v="2"/>
    <x v="108"/>
    <x v="2"/>
    <x v="4"/>
    <n v="1452"/>
    <n v="281"/>
    <n v="326"/>
    <n v="51556"/>
    <n v="62599"/>
    <n v="290"/>
    <x v="0"/>
    <x v="2"/>
    <x v="2"/>
    <d v="2024-06-03T00:00:00"/>
    <n v="1402"/>
    <n v="68"/>
    <n v="124562"/>
    <n v="9.92"/>
    <n v="23125"/>
    <x v="2"/>
    <x v="2"/>
    <s v="Traffic"/>
    <n v="160000"/>
  </r>
  <r>
    <x v="133"/>
    <x v="0"/>
    <x v="109"/>
    <x v="0"/>
    <x v="8"/>
    <n v="3882"/>
    <n v="342"/>
    <n v="374"/>
    <n v="41991"/>
    <n v="48554"/>
    <n v="118"/>
    <x v="0"/>
    <x v="0"/>
    <x v="0"/>
    <d v="2024-06-03T00:00:00"/>
    <n v="1472"/>
    <n v="296"/>
    <n v="370242"/>
    <n v="7.72"/>
    <n v="7810"/>
    <x v="0"/>
    <x v="0"/>
    <s v="Brand Awareness"/>
    <n v="175000"/>
  </r>
  <r>
    <x v="134"/>
    <x v="0"/>
    <x v="109"/>
    <x v="2"/>
    <x v="7"/>
    <n v="2101"/>
    <n v="411"/>
    <n v="190"/>
    <n v="41791"/>
    <n v="57090"/>
    <n v="172"/>
    <x v="0"/>
    <x v="3"/>
    <x v="2"/>
    <d v="2024-06-03T00:00:00"/>
    <n v="1472"/>
    <n v="296"/>
    <n v="370242"/>
    <n v="7.72"/>
    <n v="7810"/>
    <x v="2"/>
    <x v="2"/>
    <s v="Traffic"/>
    <n v="160000"/>
  </r>
  <r>
    <x v="135"/>
    <x v="2"/>
    <x v="110"/>
    <x v="2"/>
    <x v="4"/>
    <n v="1616"/>
    <n v="360"/>
    <n v="180"/>
    <n v="54342"/>
    <n v="18796"/>
    <n v="282"/>
    <x v="2"/>
    <x v="1"/>
    <x v="1"/>
    <d v="2024-06-03T00:00:00"/>
    <n v="1402"/>
    <n v="68"/>
    <n v="124562"/>
    <n v="9.92"/>
    <n v="23125"/>
    <x v="1"/>
    <x v="1"/>
    <s v="Product Launch"/>
    <n v="200000"/>
  </r>
  <r>
    <x v="136"/>
    <x v="2"/>
    <x v="111"/>
    <x v="1"/>
    <x v="4"/>
    <n v="1230"/>
    <n v="309"/>
    <n v="207"/>
    <n v="44629"/>
    <n v="40699"/>
    <n v="195"/>
    <x v="3"/>
    <x v="2"/>
    <x v="3"/>
    <d v="2024-06-03T00:00:00"/>
    <n v="1402"/>
    <n v="68"/>
    <n v="124562"/>
    <n v="9.92"/>
    <n v="23125"/>
    <x v="3"/>
    <x v="3"/>
    <s v="Engagement"/>
    <n v="225000"/>
  </r>
  <r>
    <x v="137"/>
    <x v="1"/>
    <x v="112"/>
    <x v="1"/>
    <x v="3"/>
    <n v="1839"/>
    <n v="223"/>
    <n v="171"/>
    <n v="35459"/>
    <n v="69988"/>
    <n v="114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38"/>
    <x v="1"/>
    <x v="113"/>
    <x v="2"/>
    <x v="9"/>
    <n v="2145"/>
    <n v="340"/>
    <n v="85"/>
    <n v="53323"/>
    <n v="49938"/>
    <n v="104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39"/>
    <x v="1"/>
    <x v="114"/>
    <x v="1"/>
    <x v="1"/>
    <n v="4422"/>
    <n v="434"/>
    <n v="156"/>
    <n v="56165"/>
    <n v="52431"/>
    <n v="173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40"/>
    <x v="1"/>
    <x v="114"/>
    <x v="1"/>
    <x v="7"/>
    <n v="3300"/>
    <n v="354"/>
    <n v="397"/>
    <n v="56773"/>
    <n v="72110"/>
    <n v="163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41"/>
    <x v="1"/>
    <x v="115"/>
    <x v="2"/>
    <x v="5"/>
    <n v="2878"/>
    <n v="265"/>
    <n v="91"/>
    <n v="52090"/>
    <n v="28924"/>
    <n v="133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42"/>
    <x v="2"/>
    <x v="116"/>
    <x v="2"/>
    <x v="5"/>
    <n v="3118"/>
    <n v="116"/>
    <n v="195"/>
    <n v="37100"/>
    <n v="62629"/>
    <n v="272"/>
    <x v="0"/>
    <x v="2"/>
    <x v="2"/>
    <d v="2024-06-03T00:00:00"/>
    <n v="1402"/>
    <n v="68"/>
    <n v="124562"/>
    <n v="9.92"/>
    <n v="23125"/>
    <x v="2"/>
    <x v="2"/>
    <s v="Traffic"/>
    <n v="160000"/>
  </r>
  <r>
    <x v="143"/>
    <x v="1"/>
    <x v="117"/>
    <x v="2"/>
    <x v="1"/>
    <n v="4006"/>
    <n v="420"/>
    <n v="194"/>
    <n v="49964"/>
    <n v="20685"/>
    <n v="148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44"/>
    <x v="1"/>
    <x v="117"/>
    <x v="1"/>
    <x v="3"/>
    <n v="4471"/>
    <n v="317"/>
    <n v="249"/>
    <n v="44862"/>
    <n v="33365"/>
    <n v="184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45"/>
    <x v="0"/>
    <x v="118"/>
    <x v="0"/>
    <x v="0"/>
    <n v="3543"/>
    <n v="334"/>
    <n v="218"/>
    <n v="58007"/>
    <n v="24792"/>
    <n v="273"/>
    <x v="0"/>
    <x v="0"/>
    <x v="0"/>
    <d v="2024-06-03T00:00:00"/>
    <n v="1472"/>
    <n v="296"/>
    <n v="370242"/>
    <n v="7.72"/>
    <n v="7810"/>
    <x v="0"/>
    <x v="0"/>
    <s v="Brand Awareness"/>
    <n v="175000"/>
  </r>
  <r>
    <x v="146"/>
    <x v="1"/>
    <x v="119"/>
    <x v="1"/>
    <x v="0"/>
    <n v="2870"/>
    <n v="380"/>
    <n v="393"/>
    <n v="37621"/>
    <n v="71794"/>
    <n v="127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47"/>
    <x v="2"/>
    <x v="120"/>
    <x v="2"/>
    <x v="2"/>
    <n v="2080"/>
    <n v="389"/>
    <n v="92"/>
    <n v="30971"/>
    <n v="25347"/>
    <n v="111"/>
    <x v="0"/>
    <x v="2"/>
    <x v="2"/>
    <d v="2024-06-03T00:00:00"/>
    <n v="1402"/>
    <n v="68"/>
    <n v="124562"/>
    <n v="9.92"/>
    <n v="23125"/>
    <x v="2"/>
    <x v="2"/>
    <s v="Traffic"/>
    <n v="160000"/>
  </r>
  <r>
    <x v="148"/>
    <x v="2"/>
    <x v="121"/>
    <x v="2"/>
    <x v="0"/>
    <n v="2110"/>
    <n v="384"/>
    <n v="236"/>
    <n v="49965"/>
    <n v="61555"/>
    <n v="195"/>
    <x v="0"/>
    <x v="2"/>
    <x v="2"/>
    <d v="2024-06-03T00:00:00"/>
    <n v="1402"/>
    <n v="68"/>
    <n v="124562"/>
    <n v="9.92"/>
    <n v="23125"/>
    <x v="2"/>
    <x v="2"/>
    <s v="Traffic"/>
    <n v="160000"/>
  </r>
  <r>
    <x v="149"/>
    <x v="1"/>
    <x v="121"/>
    <x v="2"/>
    <x v="6"/>
    <n v="2460"/>
    <n v="409"/>
    <n v="253"/>
    <n v="36702"/>
    <n v="46122"/>
    <n v="264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50"/>
    <x v="1"/>
    <x v="122"/>
    <x v="1"/>
    <x v="5"/>
    <n v="4929"/>
    <n v="182"/>
    <n v="95"/>
    <n v="32181"/>
    <n v="31084"/>
    <n v="289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51"/>
    <x v="1"/>
    <x v="122"/>
    <x v="2"/>
    <x v="3"/>
    <n v="2659"/>
    <n v="167"/>
    <n v="73"/>
    <n v="23090"/>
    <n v="25872"/>
    <n v="293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52"/>
    <x v="0"/>
    <x v="123"/>
    <x v="0"/>
    <x v="6"/>
    <n v="4013"/>
    <n v="320"/>
    <n v="92"/>
    <n v="54605"/>
    <n v="60169"/>
    <n v="232"/>
    <x v="0"/>
    <x v="0"/>
    <x v="0"/>
    <d v="2024-06-03T00:00:00"/>
    <n v="1472"/>
    <n v="296"/>
    <n v="370242"/>
    <n v="7.72"/>
    <n v="7810"/>
    <x v="0"/>
    <x v="0"/>
    <s v="Brand Awareness"/>
    <n v="175000"/>
  </r>
  <r>
    <x v="153"/>
    <x v="2"/>
    <x v="124"/>
    <x v="2"/>
    <x v="6"/>
    <n v="1360"/>
    <n v="249"/>
    <n v="52"/>
    <n v="20368"/>
    <n v="42152"/>
    <n v="193"/>
    <x v="0"/>
    <x v="2"/>
    <x v="2"/>
    <d v="2024-06-03T00:00:00"/>
    <n v="1402"/>
    <n v="68"/>
    <n v="124562"/>
    <n v="9.92"/>
    <n v="23125"/>
    <x v="2"/>
    <x v="2"/>
    <s v="Traffic"/>
    <n v="160000"/>
  </r>
  <r>
    <x v="154"/>
    <x v="1"/>
    <x v="125"/>
    <x v="2"/>
    <x v="9"/>
    <n v="3169"/>
    <n v="386"/>
    <n v="175"/>
    <n v="45012"/>
    <n v="38508"/>
    <n v="218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55"/>
    <x v="1"/>
    <x v="126"/>
    <x v="1"/>
    <x v="0"/>
    <n v="4303"/>
    <n v="306"/>
    <n v="302"/>
    <n v="39575"/>
    <n v="33762"/>
    <n v="265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56"/>
    <x v="1"/>
    <x v="127"/>
    <x v="2"/>
    <x v="3"/>
    <n v="1984"/>
    <n v="481"/>
    <n v="356"/>
    <n v="40681"/>
    <n v="63111"/>
    <n v="258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57"/>
    <x v="1"/>
    <x v="128"/>
    <x v="2"/>
    <x v="4"/>
    <n v="2607"/>
    <n v="379"/>
    <n v="180"/>
    <n v="28712"/>
    <n v="61620"/>
    <n v="174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58"/>
    <x v="1"/>
    <x v="129"/>
    <x v="2"/>
    <x v="6"/>
    <n v="2752"/>
    <n v="309"/>
    <n v="91"/>
    <n v="39038"/>
    <n v="28095"/>
    <n v="277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59"/>
    <x v="2"/>
    <x v="130"/>
    <x v="1"/>
    <x v="2"/>
    <n v="1914"/>
    <n v="255"/>
    <n v="156"/>
    <n v="27660"/>
    <n v="47776"/>
    <n v="111"/>
    <x v="3"/>
    <x v="2"/>
    <x v="3"/>
    <d v="2024-06-03T00:00:00"/>
    <n v="1402"/>
    <n v="68"/>
    <n v="124562"/>
    <n v="9.92"/>
    <n v="23125"/>
    <x v="3"/>
    <x v="3"/>
    <s v="Engagement"/>
    <n v="225000"/>
  </r>
  <r>
    <x v="160"/>
    <x v="0"/>
    <x v="131"/>
    <x v="2"/>
    <x v="4"/>
    <n v="4676"/>
    <n v="211"/>
    <n v="55"/>
    <n v="45917"/>
    <n v="73503"/>
    <n v="248"/>
    <x v="0"/>
    <x v="3"/>
    <x v="2"/>
    <d v="2024-06-03T00:00:00"/>
    <n v="1472"/>
    <n v="296"/>
    <n v="370242"/>
    <n v="7.72"/>
    <n v="7810"/>
    <x v="2"/>
    <x v="2"/>
    <s v="Traffic"/>
    <n v="160000"/>
  </r>
  <r>
    <x v="161"/>
    <x v="1"/>
    <x v="131"/>
    <x v="2"/>
    <x v="5"/>
    <n v="3036"/>
    <n v="293"/>
    <n v="115"/>
    <n v="23776"/>
    <n v="46386"/>
    <n v="282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62"/>
    <x v="1"/>
    <x v="132"/>
    <x v="1"/>
    <x v="3"/>
    <n v="1959"/>
    <n v="316"/>
    <n v="82"/>
    <n v="54036"/>
    <n v="69015"/>
    <n v="182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63"/>
    <x v="1"/>
    <x v="132"/>
    <x v="1"/>
    <x v="0"/>
    <n v="3061"/>
    <n v="320"/>
    <n v="76"/>
    <n v="26640"/>
    <n v="24306"/>
    <n v="112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64"/>
    <x v="1"/>
    <x v="133"/>
    <x v="2"/>
    <x v="6"/>
    <n v="2956"/>
    <n v="381"/>
    <n v="345"/>
    <n v="33347"/>
    <n v="22558"/>
    <n v="173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65"/>
    <x v="1"/>
    <x v="134"/>
    <x v="2"/>
    <x v="0"/>
    <n v="2229"/>
    <n v="395"/>
    <n v="328"/>
    <n v="56921"/>
    <n v="37176"/>
    <n v="126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66"/>
    <x v="2"/>
    <x v="134"/>
    <x v="1"/>
    <x v="3"/>
    <n v="1678"/>
    <n v="423"/>
    <n v="323"/>
    <n v="55668"/>
    <n v="37945"/>
    <n v="230"/>
    <x v="3"/>
    <x v="2"/>
    <x v="3"/>
    <d v="2024-06-03T00:00:00"/>
    <n v="1402"/>
    <n v="68"/>
    <n v="124562"/>
    <n v="9.92"/>
    <n v="23125"/>
    <x v="3"/>
    <x v="3"/>
    <s v="Engagement"/>
    <n v="225000"/>
  </r>
  <r>
    <x v="167"/>
    <x v="0"/>
    <x v="135"/>
    <x v="2"/>
    <x v="2"/>
    <n v="2471"/>
    <n v="166"/>
    <n v="320"/>
    <n v="48254"/>
    <n v="46900"/>
    <n v="111"/>
    <x v="0"/>
    <x v="3"/>
    <x v="2"/>
    <d v="2024-06-03T00:00:00"/>
    <n v="1472"/>
    <n v="296"/>
    <n v="370242"/>
    <n v="7.72"/>
    <n v="7810"/>
    <x v="2"/>
    <x v="2"/>
    <s v="Traffic"/>
    <n v="160000"/>
  </r>
  <r>
    <x v="168"/>
    <x v="1"/>
    <x v="136"/>
    <x v="2"/>
    <x v="0"/>
    <n v="4823"/>
    <n v="489"/>
    <n v="302"/>
    <n v="32470"/>
    <n v="31861"/>
    <n v="178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69"/>
    <x v="1"/>
    <x v="137"/>
    <x v="1"/>
    <x v="4"/>
    <n v="1409"/>
    <n v="466"/>
    <n v="105"/>
    <n v="58923"/>
    <n v="38753"/>
    <n v="265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70"/>
    <x v="1"/>
    <x v="137"/>
    <x v="1"/>
    <x v="2"/>
    <n v="4628"/>
    <n v="257"/>
    <n v="397"/>
    <n v="36686"/>
    <n v="54683"/>
    <n v="98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171"/>
    <x v="2"/>
    <x v="138"/>
    <x v="2"/>
    <x v="8"/>
    <n v="2422"/>
    <n v="318"/>
    <n v="118"/>
    <n v="25386"/>
    <n v="20873"/>
    <n v="100"/>
    <x v="2"/>
    <x v="1"/>
    <x v="1"/>
    <d v="2024-06-03T00:00:00"/>
    <n v="1402"/>
    <n v="68"/>
    <n v="124562"/>
    <n v="9.92"/>
    <n v="23125"/>
    <x v="1"/>
    <x v="1"/>
    <s v="Product Launch"/>
    <n v="200000"/>
  </r>
  <r>
    <x v="172"/>
    <x v="1"/>
    <x v="139"/>
    <x v="2"/>
    <x v="0"/>
    <n v="2901"/>
    <n v="108"/>
    <n v="86"/>
    <n v="51777"/>
    <n v="23773"/>
    <n v="160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73"/>
    <x v="1"/>
    <x v="139"/>
    <x v="2"/>
    <x v="6"/>
    <n v="2972"/>
    <n v="263"/>
    <n v="308"/>
    <n v="51740"/>
    <n v="28214"/>
    <n v="190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74"/>
    <x v="1"/>
    <x v="140"/>
    <x v="2"/>
    <x v="2"/>
    <n v="3728"/>
    <n v="271"/>
    <n v="275"/>
    <n v="22827"/>
    <n v="37034"/>
    <n v="199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75"/>
    <x v="1"/>
    <x v="140"/>
    <x v="2"/>
    <x v="0"/>
    <n v="2387"/>
    <n v="353"/>
    <n v="78"/>
    <n v="39745"/>
    <n v="69226"/>
    <n v="208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76"/>
    <x v="2"/>
    <x v="140"/>
    <x v="2"/>
    <x v="1"/>
    <n v="2525"/>
    <n v="272"/>
    <n v="294"/>
    <n v="51875"/>
    <n v="24732"/>
    <n v="92"/>
    <x v="0"/>
    <x v="2"/>
    <x v="2"/>
    <d v="2024-06-03T00:00:00"/>
    <n v="1402"/>
    <n v="68"/>
    <n v="124562"/>
    <n v="9.92"/>
    <n v="23125"/>
    <x v="2"/>
    <x v="2"/>
    <s v="Traffic"/>
    <n v="160000"/>
  </r>
  <r>
    <x v="177"/>
    <x v="2"/>
    <x v="141"/>
    <x v="2"/>
    <x v="8"/>
    <n v="4581"/>
    <n v="181"/>
    <n v="112"/>
    <n v="35221"/>
    <n v="28797"/>
    <n v="164"/>
    <x v="2"/>
    <x v="1"/>
    <x v="1"/>
    <d v="2024-06-03T00:00:00"/>
    <n v="1402"/>
    <n v="68"/>
    <n v="124562"/>
    <n v="9.92"/>
    <n v="23125"/>
    <x v="1"/>
    <x v="1"/>
    <s v="Product Launch"/>
    <n v="200000"/>
  </r>
  <r>
    <x v="178"/>
    <x v="1"/>
    <x v="142"/>
    <x v="2"/>
    <x v="4"/>
    <n v="4318"/>
    <n v="371"/>
    <n v="329"/>
    <n v="32347"/>
    <n v="68956"/>
    <n v="259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179"/>
    <x v="2"/>
    <x v="143"/>
    <x v="2"/>
    <x v="6"/>
    <n v="1341"/>
    <n v="472"/>
    <n v="238"/>
    <n v="51386"/>
    <n v="51706"/>
    <n v="133"/>
    <x v="0"/>
    <x v="2"/>
    <x v="2"/>
    <d v="2024-06-03T00:00:00"/>
    <n v="1402"/>
    <n v="68"/>
    <n v="124562"/>
    <n v="9.92"/>
    <n v="23125"/>
    <x v="2"/>
    <x v="2"/>
    <s v="Traffic"/>
    <n v="160000"/>
  </r>
  <r>
    <x v="180"/>
    <x v="1"/>
    <x v="144"/>
    <x v="1"/>
    <x v="4"/>
    <n v="1131"/>
    <n v="100"/>
    <n v="116"/>
    <n v="48437"/>
    <n v="72704"/>
    <n v="236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81"/>
    <x v="2"/>
    <x v="145"/>
    <x v="2"/>
    <x v="1"/>
    <n v="2824"/>
    <n v="425"/>
    <n v="274"/>
    <n v="31004"/>
    <n v="53488"/>
    <n v="268"/>
    <x v="2"/>
    <x v="1"/>
    <x v="1"/>
    <d v="2024-06-03T00:00:00"/>
    <n v="1402"/>
    <n v="68"/>
    <n v="124562"/>
    <n v="9.92"/>
    <n v="23125"/>
    <x v="1"/>
    <x v="1"/>
    <s v="Product Launch"/>
    <n v="200000"/>
  </r>
  <r>
    <x v="182"/>
    <x v="1"/>
    <x v="146"/>
    <x v="1"/>
    <x v="0"/>
    <n v="4963"/>
    <n v="255"/>
    <n v="193"/>
    <n v="44386"/>
    <n v="28415"/>
    <n v="174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83"/>
    <x v="2"/>
    <x v="147"/>
    <x v="2"/>
    <x v="2"/>
    <n v="3194"/>
    <n v="292"/>
    <n v="245"/>
    <n v="56371"/>
    <n v="65597"/>
    <n v="163"/>
    <x v="2"/>
    <x v="1"/>
    <x v="1"/>
    <d v="2024-06-03T00:00:00"/>
    <n v="1402"/>
    <n v="68"/>
    <n v="124562"/>
    <n v="9.92"/>
    <n v="23125"/>
    <x v="1"/>
    <x v="1"/>
    <s v="Product Launch"/>
    <n v="200000"/>
  </r>
  <r>
    <x v="184"/>
    <x v="1"/>
    <x v="148"/>
    <x v="1"/>
    <x v="4"/>
    <n v="3092"/>
    <n v="177"/>
    <n v="81"/>
    <n v="47533"/>
    <n v="29220"/>
    <n v="121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85"/>
    <x v="2"/>
    <x v="148"/>
    <x v="2"/>
    <x v="3"/>
    <n v="3173"/>
    <n v="229"/>
    <n v="197"/>
    <n v="29604"/>
    <n v="21809"/>
    <n v="272"/>
    <x v="2"/>
    <x v="1"/>
    <x v="1"/>
    <d v="2024-06-03T00:00:00"/>
    <n v="1402"/>
    <n v="68"/>
    <n v="124562"/>
    <n v="9.92"/>
    <n v="23125"/>
    <x v="1"/>
    <x v="1"/>
    <s v="Product Launch"/>
    <n v="200000"/>
  </r>
  <r>
    <x v="186"/>
    <x v="1"/>
    <x v="149"/>
    <x v="2"/>
    <x v="3"/>
    <n v="2357"/>
    <n v="274"/>
    <n v="172"/>
    <n v="21566"/>
    <n v="66829"/>
    <n v="284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87"/>
    <x v="2"/>
    <x v="149"/>
    <x v="2"/>
    <x v="3"/>
    <n v="2601"/>
    <n v="336"/>
    <n v="260"/>
    <n v="32368"/>
    <n v="49028"/>
    <n v="120"/>
    <x v="2"/>
    <x v="1"/>
    <x v="1"/>
    <d v="2024-06-03T00:00:00"/>
    <n v="1402"/>
    <n v="68"/>
    <n v="124562"/>
    <n v="9.92"/>
    <n v="23125"/>
    <x v="1"/>
    <x v="1"/>
    <s v="Product Launch"/>
    <n v="200000"/>
  </r>
  <r>
    <x v="188"/>
    <x v="0"/>
    <x v="150"/>
    <x v="2"/>
    <x v="2"/>
    <n v="1424"/>
    <n v="396"/>
    <n v="312"/>
    <n v="59517"/>
    <n v="46102"/>
    <n v="239"/>
    <x v="0"/>
    <x v="3"/>
    <x v="2"/>
    <d v="2024-06-03T00:00:00"/>
    <n v="1472"/>
    <n v="296"/>
    <n v="370242"/>
    <n v="7.72"/>
    <n v="7810"/>
    <x v="2"/>
    <x v="2"/>
    <s v="Traffic"/>
    <n v="160000"/>
  </r>
  <r>
    <x v="189"/>
    <x v="1"/>
    <x v="151"/>
    <x v="2"/>
    <x v="6"/>
    <n v="4673"/>
    <n v="270"/>
    <n v="93"/>
    <n v="45260"/>
    <n v="57513"/>
    <n v="103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190"/>
    <x v="0"/>
    <x v="151"/>
    <x v="2"/>
    <x v="1"/>
    <n v="2569"/>
    <n v="140"/>
    <n v="375"/>
    <n v="38372"/>
    <n v="22102"/>
    <n v="255"/>
    <x v="0"/>
    <x v="3"/>
    <x v="2"/>
    <d v="2024-06-03T00:00:00"/>
    <n v="1472"/>
    <n v="296"/>
    <n v="370242"/>
    <n v="7.72"/>
    <n v="7810"/>
    <x v="2"/>
    <x v="2"/>
    <s v="Traffic"/>
    <n v="160000"/>
  </r>
  <r>
    <x v="191"/>
    <x v="1"/>
    <x v="151"/>
    <x v="1"/>
    <x v="3"/>
    <n v="2267"/>
    <n v="230"/>
    <n v="243"/>
    <n v="27904"/>
    <n v="69771"/>
    <n v="255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92"/>
    <x v="1"/>
    <x v="152"/>
    <x v="1"/>
    <x v="4"/>
    <n v="4984"/>
    <n v="300"/>
    <n v="338"/>
    <n v="32900"/>
    <n v="31691"/>
    <n v="160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193"/>
    <x v="2"/>
    <x v="153"/>
    <x v="1"/>
    <x v="6"/>
    <n v="3812"/>
    <n v="321"/>
    <n v="289"/>
    <n v="59838"/>
    <n v="36337"/>
    <n v="161"/>
    <x v="3"/>
    <x v="2"/>
    <x v="3"/>
    <d v="2024-06-03T00:00:00"/>
    <n v="1402"/>
    <n v="68"/>
    <n v="124562"/>
    <n v="9.92"/>
    <n v="23125"/>
    <x v="3"/>
    <x v="3"/>
    <s v="Engagement"/>
    <n v="225000"/>
  </r>
  <r>
    <x v="194"/>
    <x v="1"/>
    <x v="154"/>
    <x v="1"/>
    <x v="8"/>
    <n v="1316"/>
    <n v="472"/>
    <n v="286"/>
    <n v="44692"/>
    <n v="53343"/>
    <n v="227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195"/>
    <x v="1"/>
    <x v="155"/>
    <x v="1"/>
    <x v="9"/>
    <n v="4674"/>
    <n v="409"/>
    <n v="327"/>
    <n v="20756"/>
    <n v="63599"/>
    <n v="212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196"/>
    <x v="2"/>
    <x v="156"/>
    <x v="2"/>
    <x v="5"/>
    <n v="2519"/>
    <n v="202"/>
    <n v="239"/>
    <n v="36245"/>
    <n v="48606"/>
    <n v="145"/>
    <x v="0"/>
    <x v="2"/>
    <x v="2"/>
    <d v="2024-06-03T00:00:00"/>
    <n v="1402"/>
    <n v="68"/>
    <n v="124562"/>
    <n v="9.92"/>
    <n v="23125"/>
    <x v="2"/>
    <x v="2"/>
    <s v="Traffic"/>
    <n v="160000"/>
  </r>
  <r>
    <x v="197"/>
    <x v="2"/>
    <x v="157"/>
    <x v="1"/>
    <x v="4"/>
    <n v="4563"/>
    <n v="398"/>
    <n v="163"/>
    <n v="43679"/>
    <n v="48760"/>
    <n v="92"/>
    <x v="3"/>
    <x v="2"/>
    <x v="3"/>
    <d v="2024-06-03T00:00:00"/>
    <n v="1402"/>
    <n v="68"/>
    <n v="124562"/>
    <n v="9.92"/>
    <n v="23125"/>
    <x v="3"/>
    <x v="3"/>
    <s v="Engagement"/>
    <n v="225000"/>
  </r>
  <r>
    <x v="198"/>
    <x v="2"/>
    <x v="158"/>
    <x v="2"/>
    <x v="6"/>
    <n v="1436"/>
    <n v="219"/>
    <n v="229"/>
    <n v="58488"/>
    <n v="24314"/>
    <n v="147"/>
    <x v="0"/>
    <x v="2"/>
    <x v="2"/>
    <d v="2024-06-03T00:00:00"/>
    <n v="1402"/>
    <n v="68"/>
    <n v="124562"/>
    <n v="9.92"/>
    <n v="23125"/>
    <x v="2"/>
    <x v="2"/>
    <s v="Traffic"/>
    <n v="160000"/>
  </r>
  <r>
    <x v="199"/>
    <x v="1"/>
    <x v="159"/>
    <x v="1"/>
    <x v="4"/>
    <n v="4049"/>
    <n v="377"/>
    <n v="94"/>
    <n v="48182"/>
    <n v="42875"/>
    <n v="172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00"/>
    <x v="1"/>
    <x v="160"/>
    <x v="2"/>
    <x v="9"/>
    <n v="4214"/>
    <n v="286"/>
    <n v="127"/>
    <n v="47293"/>
    <n v="27184"/>
    <n v="232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01"/>
    <x v="2"/>
    <x v="161"/>
    <x v="2"/>
    <x v="4"/>
    <n v="4036"/>
    <n v="112"/>
    <n v="382"/>
    <n v="56284"/>
    <n v="29440"/>
    <n v="279"/>
    <x v="2"/>
    <x v="1"/>
    <x v="1"/>
    <d v="2024-06-03T00:00:00"/>
    <n v="1402"/>
    <n v="68"/>
    <n v="124562"/>
    <n v="9.92"/>
    <n v="23125"/>
    <x v="1"/>
    <x v="1"/>
    <s v="Product Launch"/>
    <n v="200000"/>
  </r>
  <r>
    <x v="202"/>
    <x v="1"/>
    <x v="162"/>
    <x v="1"/>
    <x v="9"/>
    <n v="4845"/>
    <n v="158"/>
    <n v="84"/>
    <n v="34578"/>
    <n v="51480"/>
    <n v="180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203"/>
    <x v="0"/>
    <x v="162"/>
    <x v="2"/>
    <x v="4"/>
    <n v="3782"/>
    <n v="484"/>
    <n v="144"/>
    <n v="52172"/>
    <n v="59386"/>
    <n v="175"/>
    <x v="0"/>
    <x v="3"/>
    <x v="2"/>
    <d v="2024-06-03T00:00:00"/>
    <n v="1472"/>
    <n v="296"/>
    <n v="370242"/>
    <n v="7.72"/>
    <n v="7810"/>
    <x v="2"/>
    <x v="2"/>
    <s v="Traffic"/>
    <n v="160000"/>
  </r>
  <r>
    <x v="204"/>
    <x v="1"/>
    <x v="163"/>
    <x v="1"/>
    <x v="0"/>
    <n v="3341"/>
    <n v="154"/>
    <n v="123"/>
    <n v="43369"/>
    <n v="49035"/>
    <n v="128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05"/>
    <x v="1"/>
    <x v="163"/>
    <x v="2"/>
    <x v="3"/>
    <n v="4811"/>
    <n v="473"/>
    <n v="254"/>
    <n v="51964"/>
    <n v="68795"/>
    <n v="107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06"/>
    <x v="1"/>
    <x v="164"/>
    <x v="1"/>
    <x v="7"/>
    <n v="3817"/>
    <n v="284"/>
    <n v="204"/>
    <n v="46434"/>
    <n v="53396"/>
    <n v="104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07"/>
    <x v="2"/>
    <x v="164"/>
    <x v="2"/>
    <x v="4"/>
    <n v="1015"/>
    <n v="366"/>
    <n v="308"/>
    <n v="38127"/>
    <n v="63790"/>
    <n v="287"/>
    <x v="2"/>
    <x v="1"/>
    <x v="1"/>
    <d v="2024-06-03T00:00:00"/>
    <n v="1402"/>
    <n v="68"/>
    <n v="124562"/>
    <n v="9.92"/>
    <n v="23125"/>
    <x v="1"/>
    <x v="1"/>
    <s v="Product Launch"/>
    <n v="200000"/>
  </r>
  <r>
    <x v="208"/>
    <x v="2"/>
    <x v="165"/>
    <x v="2"/>
    <x v="6"/>
    <n v="1771"/>
    <n v="487"/>
    <n v="272"/>
    <n v="48810"/>
    <n v="48084"/>
    <n v="272"/>
    <x v="2"/>
    <x v="1"/>
    <x v="1"/>
    <d v="2024-06-03T00:00:00"/>
    <n v="1402"/>
    <n v="68"/>
    <n v="124562"/>
    <n v="9.92"/>
    <n v="23125"/>
    <x v="1"/>
    <x v="1"/>
    <s v="Product Launch"/>
    <n v="200000"/>
  </r>
  <r>
    <x v="209"/>
    <x v="1"/>
    <x v="165"/>
    <x v="2"/>
    <x v="8"/>
    <n v="1765"/>
    <n v="285"/>
    <n v="100"/>
    <n v="41313"/>
    <n v="56575"/>
    <n v="174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210"/>
    <x v="1"/>
    <x v="166"/>
    <x v="2"/>
    <x v="8"/>
    <n v="4090"/>
    <n v="209"/>
    <n v="278"/>
    <n v="52853"/>
    <n v="57084"/>
    <n v="102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211"/>
    <x v="0"/>
    <x v="167"/>
    <x v="2"/>
    <x v="7"/>
    <n v="2599"/>
    <n v="324"/>
    <n v="182"/>
    <n v="37525"/>
    <n v="37216"/>
    <n v="186"/>
    <x v="0"/>
    <x v="3"/>
    <x v="2"/>
    <d v="2024-06-03T00:00:00"/>
    <n v="1472"/>
    <n v="296"/>
    <n v="370242"/>
    <n v="7.72"/>
    <n v="7810"/>
    <x v="2"/>
    <x v="2"/>
    <s v="Traffic"/>
    <n v="160000"/>
  </r>
  <r>
    <x v="212"/>
    <x v="2"/>
    <x v="168"/>
    <x v="2"/>
    <x v="8"/>
    <n v="2605"/>
    <n v="282"/>
    <n v="148"/>
    <n v="32201"/>
    <n v="49583"/>
    <n v="241"/>
    <x v="2"/>
    <x v="1"/>
    <x v="1"/>
    <d v="2024-06-03T00:00:00"/>
    <n v="1402"/>
    <n v="68"/>
    <n v="124562"/>
    <n v="9.92"/>
    <n v="23125"/>
    <x v="1"/>
    <x v="1"/>
    <s v="Product Launch"/>
    <n v="200000"/>
  </r>
  <r>
    <x v="213"/>
    <x v="2"/>
    <x v="169"/>
    <x v="2"/>
    <x v="2"/>
    <n v="2266"/>
    <n v="126"/>
    <n v="140"/>
    <n v="53759"/>
    <n v="46834"/>
    <n v="277"/>
    <x v="0"/>
    <x v="2"/>
    <x v="2"/>
    <d v="2024-06-03T00:00:00"/>
    <n v="1402"/>
    <n v="68"/>
    <n v="124562"/>
    <n v="9.92"/>
    <n v="23125"/>
    <x v="2"/>
    <x v="2"/>
    <s v="Traffic"/>
    <n v="160000"/>
  </r>
  <r>
    <x v="214"/>
    <x v="1"/>
    <x v="170"/>
    <x v="1"/>
    <x v="4"/>
    <n v="3507"/>
    <n v="295"/>
    <n v="371"/>
    <n v="20410"/>
    <n v="53965"/>
    <n v="212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215"/>
    <x v="1"/>
    <x v="170"/>
    <x v="1"/>
    <x v="8"/>
    <n v="1651"/>
    <n v="480"/>
    <n v="282"/>
    <n v="32140"/>
    <n v="70560"/>
    <n v="138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216"/>
    <x v="1"/>
    <x v="171"/>
    <x v="1"/>
    <x v="4"/>
    <n v="4619"/>
    <n v="272"/>
    <n v="57"/>
    <n v="21334"/>
    <n v="46292"/>
    <n v="91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217"/>
    <x v="1"/>
    <x v="172"/>
    <x v="1"/>
    <x v="5"/>
    <n v="2494"/>
    <n v="494"/>
    <n v="55"/>
    <n v="22580"/>
    <n v="22214"/>
    <n v="109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18"/>
    <x v="2"/>
    <x v="172"/>
    <x v="1"/>
    <x v="4"/>
    <n v="4918"/>
    <n v="440"/>
    <n v="149"/>
    <n v="53269"/>
    <n v="64370"/>
    <n v="269"/>
    <x v="3"/>
    <x v="2"/>
    <x v="3"/>
    <d v="2024-06-03T00:00:00"/>
    <n v="1402"/>
    <n v="68"/>
    <n v="124562"/>
    <n v="9.92"/>
    <n v="23125"/>
    <x v="3"/>
    <x v="3"/>
    <s v="Engagement"/>
    <n v="225000"/>
  </r>
  <r>
    <x v="219"/>
    <x v="1"/>
    <x v="173"/>
    <x v="1"/>
    <x v="4"/>
    <n v="4478"/>
    <n v="101"/>
    <n v="121"/>
    <n v="51035"/>
    <n v="58207"/>
    <n v="205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20"/>
    <x v="2"/>
    <x v="174"/>
    <x v="1"/>
    <x v="1"/>
    <n v="3451"/>
    <n v="363"/>
    <n v="393"/>
    <n v="44853"/>
    <n v="69032"/>
    <n v="211"/>
    <x v="3"/>
    <x v="2"/>
    <x v="3"/>
    <d v="2024-06-03T00:00:00"/>
    <n v="1402"/>
    <n v="68"/>
    <n v="124562"/>
    <n v="9.92"/>
    <n v="23125"/>
    <x v="3"/>
    <x v="3"/>
    <s v="Engagement"/>
    <n v="225000"/>
  </r>
  <r>
    <x v="221"/>
    <x v="0"/>
    <x v="175"/>
    <x v="2"/>
    <x v="3"/>
    <n v="4294"/>
    <n v="423"/>
    <n v="93"/>
    <n v="29828"/>
    <n v="73144"/>
    <n v="298"/>
    <x v="0"/>
    <x v="3"/>
    <x v="2"/>
    <d v="2024-06-03T00:00:00"/>
    <n v="1472"/>
    <n v="296"/>
    <n v="370242"/>
    <n v="7.72"/>
    <n v="7810"/>
    <x v="2"/>
    <x v="2"/>
    <s v="Traffic"/>
    <n v="160000"/>
  </r>
  <r>
    <x v="222"/>
    <x v="0"/>
    <x v="176"/>
    <x v="2"/>
    <x v="4"/>
    <n v="1334"/>
    <n v="357"/>
    <n v="257"/>
    <n v="56910"/>
    <n v="70606"/>
    <n v="228"/>
    <x v="0"/>
    <x v="3"/>
    <x v="2"/>
    <d v="2024-06-03T00:00:00"/>
    <n v="1472"/>
    <n v="296"/>
    <n v="370242"/>
    <n v="7.72"/>
    <n v="7810"/>
    <x v="2"/>
    <x v="2"/>
    <s v="Traffic"/>
    <n v="160000"/>
  </r>
  <r>
    <x v="223"/>
    <x v="2"/>
    <x v="177"/>
    <x v="2"/>
    <x v="0"/>
    <n v="1934"/>
    <n v="210"/>
    <n v="393"/>
    <n v="29129"/>
    <n v="73287"/>
    <n v="273"/>
    <x v="0"/>
    <x v="2"/>
    <x v="2"/>
    <d v="2024-06-03T00:00:00"/>
    <n v="1402"/>
    <n v="68"/>
    <n v="124562"/>
    <n v="9.92"/>
    <n v="23125"/>
    <x v="2"/>
    <x v="2"/>
    <s v="Traffic"/>
    <n v="160000"/>
  </r>
  <r>
    <x v="224"/>
    <x v="1"/>
    <x v="177"/>
    <x v="1"/>
    <x v="2"/>
    <n v="1079"/>
    <n v="265"/>
    <n v="190"/>
    <n v="43786"/>
    <n v="72428"/>
    <n v="222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225"/>
    <x v="1"/>
    <x v="178"/>
    <x v="2"/>
    <x v="1"/>
    <n v="4995"/>
    <n v="231"/>
    <n v="94"/>
    <n v="34431"/>
    <n v="32560"/>
    <n v="262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26"/>
    <x v="2"/>
    <x v="178"/>
    <x v="1"/>
    <x v="4"/>
    <n v="1205"/>
    <n v="486"/>
    <n v="269"/>
    <n v="23341"/>
    <n v="42411"/>
    <n v="184"/>
    <x v="3"/>
    <x v="2"/>
    <x v="3"/>
    <d v="2024-06-03T00:00:00"/>
    <n v="1402"/>
    <n v="68"/>
    <n v="124562"/>
    <n v="9.92"/>
    <n v="23125"/>
    <x v="3"/>
    <x v="3"/>
    <s v="Engagement"/>
    <n v="225000"/>
  </r>
  <r>
    <x v="227"/>
    <x v="2"/>
    <x v="179"/>
    <x v="1"/>
    <x v="8"/>
    <n v="3074"/>
    <n v="371"/>
    <n v="348"/>
    <n v="24104"/>
    <n v="57803"/>
    <n v="213"/>
    <x v="3"/>
    <x v="2"/>
    <x v="3"/>
    <d v="2024-06-03T00:00:00"/>
    <n v="1402"/>
    <n v="68"/>
    <n v="124562"/>
    <n v="9.92"/>
    <n v="23125"/>
    <x v="3"/>
    <x v="3"/>
    <s v="Engagement"/>
    <n v="225000"/>
  </r>
  <r>
    <x v="228"/>
    <x v="1"/>
    <x v="179"/>
    <x v="1"/>
    <x v="5"/>
    <n v="3029"/>
    <n v="440"/>
    <n v="66"/>
    <n v="23815"/>
    <n v="47895"/>
    <n v="210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229"/>
    <x v="1"/>
    <x v="180"/>
    <x v="1"/>
    <x v="7"/>
    <n v="4752"/>
    <n v="334"/>
    <n v="56"/>
    <n v="48017"/>
    <n v="55534"/>
    <n v="270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230"/>
    <x v="2"/>
    <x v="181"/>
    <x v="2"/>
    <x v="5"/>
    <n v="2329"/>
    <n v="373"/>
    <n v="291"/>
    <n v="49577"/>
    <n v="28002"/>
    <n v="82"/>
    <x v="2"/>
    <x v="1"/>
    <x v="1"/>
    <d v="2024-06-03T00:00:00"/>
    <n v="1402"/>
    <n v="68"/>
    <n v="124562"/>
    <n v="9.92"/>
    <n v="23125"/>
    <x v="1"/>
    <x v="1"/>
    <s v="Product Launch"/>
    <n v="200000"/>
  </r>
  <r>
    <x v="231"/>
    <x v="2"/>
    <x v="181"/>
    <x v="2"/>
    <x v="2"/>
    <n v="4891"/>
    <n v="450"/>
    <n v="387"/>
    <n v="48746"/>
    <n v="37312"/>
    <n v="154"/>
    <x v="2"/>
    <x v="1"/>
    <x v="1"/>
    <d v="2024-06-03T00:00:00"/>
    <n v="1402"/>
    <n v="68"/>
    <n v="124562"/>
    <n v="9.92"/>
    <n v="23125"/>
    <x v="1"/>
    <x v="1"/>
    <s v="Product Launch"/>
    <n v="200000"/>
  </r>
  <r>
    <x v="232"/>
    <x v="2"/>
    <x v="182"/>
    <x v="2"/>
    <x v="7"/>
    <n v="1333"/>
    <n v="286"/>
    <n v="298"/>
    <n v="36174"/>
    <n v="34517"/>
    <n v="170"/>
    <x v="2"/>
    <x v="1"/>
    <x v="1"/>
    <d v="2024-06-03T00:00:00"/>
    <n v="1402"/>
    <n v="68"/>
    <n v="124562"/>
    <n v="9.92"/>
    <n v="23125"/>
    <x v="1"/>
    <x v="1"/>
    <s v="Product Launch"/>
    <n v="200000"/>
  </r>
  <r>
    <x v="233"/>
    <x v="1"/>
    <x v="183"/>
    <x v="1"/>
    <x v="1"/>
    <n v="4796"/>
    <n v="427"/>
    <n v="339"/>
    <n v="30752"/>
    <n v="33870"/>
    <n v="298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234"/>
    <x v="2"/>
    <x v="184"/>
    <x v="1"/>
    <x v="6"/>
    <n v="2422"/>
    <n v="455"/>
    <n v="376"/>
    <n v="23428"/>
    <n v="46775"/>
    <n v="259"/>
    <x v="3"/>
    <x v="2"/>
    <x v="3"/>
    <d v="2024-06-03T00:00:00"/>
    <n v="1402"/>
    <n v="68"/>
    <n v="124562"/>
    <n v="9.92"/>
    <n v="23125"/>
    <x v="3"/>
    <x v="3"/>
    <s v="Engagement"/>
    <n v="225000"/>
  </r>
  <r>
    <x v="235"/>
    <x v="0"/>
    <x v="185"/>
    <x v="0"/>
    <x v="9"/>
    <n v="4957"/>
    <n v="262"/>
    <n v="365"/>
    <n v="49199"/>
    <n v="40314"/>
    <n v="216"/>
    <x v="0"/>
    <x v="0"/>
    <x v="0"/>
    <d v="2024-06-03T00:00:00"/>
    <n v="1472"/>
    <n v="296"/>
    <n v="370242"/>
    <n v="7.72"/>
    <n v="7810"/>
    <x v="0"/>
    <x v="0"/>
    <s v="Brand Awareness"/>
    <n v="175000"/>
  </r>
  <r>
    <x v="236"/>
    <x v="0"/>
    <x v="186"/>
    <x v="2"/>
    <x v="6"/>
    <n v="4425"/>
    <n v="185"/>
    <n v="162"/>
    <n v="24610"/>
    <n v="21342"/>
    <n v="158"/>
    <x v="0"/>
    <x v="3"/>
    <x v="2"/>
    <d v="2024-06-03T00:00:00"/>
    <n v="1472"/>
    <n v="296"/>
    <n v="370242"/>
    <n v="7.72"/>
    <n v="7810"/>
    <x v="2"/>
    <x v="2"/>
    <s v="Traffic"/>
    <n v="160000"/>
  </r>
  <r>
    <x v="237"/>
    <x v="1"/>
    <x v="187"/>
    <x v="2"/>
    <x v="5"/>
    <n v="2177"/>
    <n v="258"/>
    <n v="292"/>
    <n v="47276"/>
    <n v="51324"/>
    <n v="143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38"/>
    <x v="2"/>
    <x v="188"/>
    <x v="2"/>
    <x v="9"/>
    <n v="4851"/>
    <n v="460"/>
    <n v="212"/>
    <n v="58075"/>
    <n v="59574"/>
    <n v="239"/>
    <x v="0"/>
    <x v="2"/>
    <x v="2"/>
    <d v="2024-06-03T00:00:00"/>
    <n v="1402"/>
    <n v="68"/>
    <n v="124562"/>
    <n v="9.92"/>
    <n v="23125"/>
    <x v="2"/>
    <x v="2"/>
    <s v="Traffic"/>
    <n v="160000"/>
  </r>
  <r>
    <x v="239"/>
    <x v="1"/>
    <x v="189"/>
    <x v="2"/>
    <x v="9"/>
    <n v="4234"/>
    <n v="486"/>
    <n v="276"/>
    <n v="56623"/>
    <n v="41343"/>
    <n v="184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240"/>
    <x v="0"/>
    <x v="189"/>
    <x v="2"/>
    <x v="2"/>
    <n v="4310"/>
    <n v="284"/>
    <n v="306"/>
    <n v="44606"/>
    <n v="42604"/>
    <n v="290"/>
    <x v="0"/>
    <x v="3"/>
    <x v="2"/>
    <d v="2024-06-03T00:00:00"/>
    <n v="1472"/>
    <n v="296"/>
    <n v="370242"/>
    <n v="7.72"/>
    <n v="7810"/>
    <x v="2"/>
    <x v="2"/>
    <s v="Traffic"/>
    <n v="160000"/>
  </r>
  <r>
    <x v="241"/>
    <x v="2"/>
    <x v="190"/>
    <x v="1"/>
    <x v="2"/>
    <n v="2244"/>
    <n v="392"/>
    <n v="231"/>
    <n v="25834"/>
    <n v="50906"/>
    <n v="165"/>
    <x v="3"/>
    <x v="2"/>
    <x v="3"/>
    <d v="2024-06-03T00:00:00"/>
    <n v="1402"/>
    <n v="68"/>
    <n v="124562"/>
    <n v="9.92"/>
    <n v="23125"/>
    <x v="3"/>
    <x v="3"/>
    <s v="Engagement"/>
    <n v="225000"/>
  </r>
  <r>
    <x v="242"/>
    <x v="1"/>
    <x v="191"/>
    <x v="2"/>
    <x v="7"/>
    <n v="2754"/>
    <n v="215"/>
    <n v="264"/>
    <n v="27762"/>
    <n v="70203"/>
    <n v="289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43"/>
    <x v="1"/>
    <x v="192"/>
    <x v="1"/>
    <x v="0"/>
    <n v="3418"/>
    <n v="188"/>
    <n v="387"/>
    <n v="57431"/>
    <n v="36933"/>
    <n v="202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44"/>
    <x v="1"/>
    <x v="193"/>
    <x v="1"/>
    <x v="7"/>
    <n v="3393"/>
    <n v="104"/>
    <n v="79"/>
    <n v="30025"/>
    <n v="21593"/>
    <n v="165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45"/>
    <x v="1"/>
    <x v="193"/>
    <x v="2"/>
    <x v="7"/>
    <n v="1564"/>
    <n v="362"/>
    <n v="371"/>
    <n v="42075"/>
    <n v="66659"/>
    <n v="205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246"/>
    <x v="0"/>
    <x v="193"/>
    <x v="0"/>
    <x v="6"/>
    <n v="1453"/>
    <n v="156"/>
    <n v="178"/>
    <n v="52980"/>
    <n v="57180"/>
    <n v="286"/>
    <x v="0"/>
    <x v="0"/>
    <x v="0"/>
    <d v="2024-06-03T00:00:00"/>
    <n v="1472"/>
    <n v="296"/>
    <n v="370242"/>
    <n v="7.72"/>
    <n v="7810"/>
    <x v="0"/>
    <x v="0"/>
    <s v="Brand Awareness"/>
    <n v="175000"/>
  </r>
  <r>
    <x v="247"/>
    <x v="1"/>
    <x v="194"/>
    <x v="1"/>
    <x v="4"/>
    <n v="4609"/>
    <n v="427"/>
    <n v="395"/>
    <n v="33698"/>
    <n v="29259"/>
    <n v="216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248"/>
    <x v="0"/>
    <x v="195"/>
    <x v="2"/>
    <x v="8"/>
    <n v="4308"/>
    <n v="171"/>
    <n v="106"/>
    <n v="36955"/>
    <n v="23949"/>
    <n v="294"/>
    <x v="0"/>
    <x v="3"/>
    <x v="2"/>
    <d v="2024-06-03T00:00:00"/>
    <n v="1472"/>
    <n v="296"/>
    <n v="370242"/>
    <n v="7.72"/>
    <n v="7810"/>
    <x v="2"/>
    <x v="2"/>
    <s v="Traffic"/>
    <n v="160000"/>
  </r>
  <r>
    <x v="249"/>
    <x v="1"/>
    <x v="196"/>
    <x v="1"/>
    <x v="8"/>
    <n v="2665"/>
    <n v="143"/>
    <n v="315"/>
    <n v="54808"/>
    <n v="29818"/>
    <n v="98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250"/>
    <x v="0"/>
    <x v="197"/>
    <x v="2"/>
    <x v="3"/>
    <n v="4598"/>
    <n v="455"/>
    <n v="378"/>
    <n v="52952"/>
    <n v="58504"/>
    <n v="269"/>
    <x v="0"/>
    <x v="3"/>
    <x v="2"/>
    <d v="2024-06-03T00:00:00"/>
    <n v="1472"/>
    <n v="296"/>
    <n v="370242"/>
    <n v="7.72"/>
    <n v="7810"/>
    <x v="2"/>
    <x v="2"/>
    <s v="Traffic"/>
    <n v="160000"/>
  </r>
  <r>
    <x v="251"/>
    <x v="1"/>
    <x v="198"/>
    <x v="2"/>
    <x v="6"/>
    <n v="1403"/>
    <n v="385"/>
    <n v="344"/>
    <n v="54223"/>
    <n v="72595"/>
    <n v="239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252"/>
    <x v="1"/>
    <x v="199"/>
    <x v="1"/>
    <x v="6"/>
    <n v="4315"/>
    <n v="208"/>
    <n v="273"/>
    <n v="35780"/>
    <n v="44349"/>
    <n v="133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253"/>
    <x v="1"/>
    <x v="200"/>
    <x v="2"/>
    <x v="6"/>
    <n v="3890"/>
    <n v="408"/>
    <n v="338"/>
    <n v="56994"/>
    <n v="32621"/>
    <n v="286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254"/>
    <x v="2"/>
    <x v="201"/>
    <x v="2"/>
    <x v="0"/>
    <n v="4177"/>
    <n v="489"/>
    <n v="331"/>
    <n v="57451"/>
    <n v="73793"/>
    <n v="251"/>
    <x v="0"/>
    <x v="2"/>
    <x v="2"/>
    <d v="2024-06-03T00:00:00"/>
    <n v="1402"/>
    <n v="68"/>
    <n v="124562"/>
    <n v="9.92"/>
    <n v="23125"/>
    <x v="2"/>
    <x v="2"/>
    <s v="Traffic"/>
    <n v="160000"/>
  </r>
  <r>
    <x v="255"/>
    <x v="2"/>
    <x v="202"/>
    <x v="2"/>
    <x v="3"/>
    <n v="4836"/>
    <n v="331"/>
    <n v="140"/>
    <n v="58792"/>
    <n v="47711"/>
    <n v="227"/>
    <x v="2"/>
    <x v="1"/>
    <x v="1"/>
    <d v="2024-06-03T00:00:00"/>
    <n v="1402"/>
    <n v="68"/>
    <n v="124562"/>
    <n v="9.92"/>
    <n v="23125"/>
    <x v="1"/>
    <x v="1"/>
    <s v="Product Launch"/>
    <n v="200000"/>
  </r>
  <r>
    <x v="256"/>
    <x v="1"/>
    <x v="202"/>
    <x v="2"/>
    <x v="3"/>
    <n v="3792"/>
    <n v="315"/>
    <n v="120"/>
    <n v="54592"/>
    <n v="67886"/>
    <n v="117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257"/>
    <x v="0"/>
    <x v="203"/>
    <x v="0"/>
    <x v="7"/>
    <n v="1265"/>
    <n v="230"/>
    <n v="364"/>
    <n v="41312"/>
    <n v="50382"/>
    <n v="106"/>
    <x v="0"/>
    <x v="0"/>
    <x v="0"/>
    <d v="2024-06-03T00:00:00"/>
    <n v="1472"/>
    <n v="296"/>
    <n v="370242"/>
    <n v="7.72"/>
    <n v="7810"/>
    <x v="0"/>
    <x v="0"/>
    <s v="Brand Awareness"/>
    <n v="175000"/>
  </r>
  <r>
    <x v="258"/>
    <x v="0"/>
    <x v="204"/>
    <x v="0"/>
    <x v="4"/>
    <n v="2733"/>
    <n v="297"/>
    <n v="235"/>
    <n v="37980"/>
    <n v="33058"/>
    <n v="219"/>
    <x v="0"/>
    <x v="0"/>
    <x v="0"/>
    <d v="2024-06-03T00:00:00"/>
    <n v="1472"/>
    <n v="296"/>
    <n v="370242"/>
    <n v="7.72"/>
    <n v="7810"/>
    <x v="0"/>
    <x v="0"/>
    <s v="Brand Awareness"/>
    <n v="175000"/>
  </r>
  <r>
    <x v="259"/>
    <x v="1"/>
    <x v="204"/>
    <x v="2"/>
    <x v="5"/>
    <n v="4401"/>
    <n v="421"/>
    <n v="216"/>
    <n v="24890"/>
    <n v="54361"/>
    <n v="148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60"/>
    <x v="1"/>
    <x v="205"/>
    <x v="2"/>
    <x v="5"/>
    <n v="2411"/>
    <n v="194"/>
    <n v="168"/>
    <n v="26665"/>
    <n v="71699"/>
    <n v="197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61"/>
    <x v="1"/>
    <x v="206"/>
    <x v="2"/>
    <x v="0"/>
    <n v="1165"/>
    <n v="294"/>
    <n v="163"/>
    <n v="20659"/>
    <n v="45926"/>
    <n v="111"/>
    <x v="2"/>
    <x v="2"/>
    <x v="2"/>
    <d v="2024-06-03T00:00:00"/>
    <n v="995"/>
    <n v="86"/>
    <n v="227958"/>
    <n v="8.0500000000000007"/>
    <n v="22788"/>
    <x v="2"/>
    <x v="2"/>
    <s v="Traffic"/>
    <n v="160000"/>
  </r>
  <r>
    <x v="262"/>
    <x v="1"/>
    <x v="207"/>
    <x v="1"/>
    <x v="3"/>
    <n v="3929"/>
    <n v="275"/>
    <n v="330"/>
    <n v="58329"/>
    <n v="33196"/>
    <n v="85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63"/>
    <x v="2"/>
    <x v="207"/>
    <x v="1"/>
    <x v="4"/>
    <n v="3916"/>
    <n v="459"/>
    <n v="229"/>
    <n v="48989"/>
    <n v="39768"/>
    <n v="200"/>
    <x v="3"/>
    <x v="2"/>
    <x v="3"/>
    <d v="2024-06-03T00:00:00"/>
    <n v="1402"/>
    <n v="68"/>
    <n v="124562"/>
    <n v="9.92"/>
    <n v="23125"/>
    <x v="3"/>
    <x v="3"/>
    <s v="Engagement"/>
    <n v="225000"/>
  </r>
  <r>
    <x v="264"/>
    <x v="1"/>
    <x v="208"/>
    <x v="1"/>
    <x v="2"/>
    <n v="1010"/>
    <n v="361"/>
    <n v="240"/>
    <n v="47229"/>
    <n v="72573"/>
    <n v="275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265"/>
    <x v="2"/>
    <x v="209"/>
    <x v="2"/>
    <x v="5"/>
    <n v="2414"/>
    <n v="245"/>
    <n v="137"/>
    <n v="21181"/>
    <n v="45292"/>
    <n v="133"/>
    <x v="2"/>
    <x v="1"/>
    <x v="1"/>
    <d v="2024-06-03T00:00:00"/>
    <n v="1402"/>
    <n v="68"/>
    <n v="124562"/>
    <n v="9.92"/>
    <n v="23125"/>
    <x v="1"/>
    <x v="1"/>
    <s v="Product Launch"/>
    <n v="200000"/>
  </r>
  <r>
    <x v="266"/>
    <x v="2"/>
    <x v="209"/>
    <x v="1"/>
    <x v="4"/>
    <n v="1311"/>
    <n v="181"/>
    <n v="361"/>
    <n v="37148"/>
    <n v="44875"/>
    <n v="245"/>
    <x v="3"/>
    <x v="2"/>
    <x v="3"/>
    <d v="2024-06-03T00:00:00"/>
    <n v="1402"/>
    <n v="68"/>
    <n v="124562"/>
    <n v="9.92"/>
    <n v="23125"/>
    <x v="3"/>
    <x v="3"/>
    <s v="Engagement"/>
    <n v="225000"/>
  </r>
  <r>
    <x v="267"/>
    <x v="0"/>
    <x v="210"/>
    <x v="0"/>
    <x v="5"/>
    <n v="1085"/>
    <n v="496"/>
    <n v="320"/>
    <n v="36528"/>
    <n v="38599"/>
    <n v="270"/>
    <x v="0"/>
    <x v="0"/>
    <x v="0"/>
    <d v="2024-06-03T00:00:00"/>
    <n v="1472"/>
    <n v="296"/>
    <n v="370242"/>
    <n v="7.72"/>
    <n v="7810"/>
    <x v="0"/>
    <x v="0"/>
    <s v="Brand Awareness"/>
    <n v="175000"/>
  </r>
  <r>
    <x v="268"/>
    <x v="1"/>
    <x v="211"/>
    <x v="1"/>
    <x v="7"/>
    <n v="3316"/>
    <n v="332"/>
    <n v="268"/>
    <n v="40095"/>
    <n v="36913"/>
    <n v="265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69"/>
    <x v="1"/>
    <x v="212"/>
    <x v="1"/>
    <x v="8"/>
    <n v="2778"/>
    <n v="241"/>
    <n v="317"/>
    <n v="26247"/>
    <n v="20677"/>
    <n v="282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70"/>
    <x v="1"/>
    <x v="213"/>
    <x v="1"/>
    <x v="3"/>
    <n v="1371"/>
    <n v="139"/>
    <n v="96"/>
    <n v="36140"/>
    <n v="39395"/>
    <n v="169"/>
    <x v="2"/>
    <x v="1"/>
    <x v="1"/>
    <d v="2024-06-03T00:00:00"/>
    <n v="995"/>
    <n v="86"/>
    <n v="227958"/>
    <n v="8.0500000000000007"/>
    <n v="22788"/>
    <x v="1"/>
    <x v="1"/>
    <s v="Product Launch"/>
    <n v="200000"/>
  </r>
  <r>
    <x v="271"/>
    <x v="0"/>
    <x v="213"/>
    <x v="2"/>
    <x v="5"/>
    <n v="1701"/>
    <n v="272"/>
    <n v="385"/>
    <n v="47496"/>
    <n v="40832"/>
    <n v="246"/>
    <x v="0"/>
    <x v="3"/>
    <x v="2"/>
    <d v="2024-06-03T00:00:00"/>
    <n v="1472"/>
    <n v="296"/>
    <n v="370242"/>
    <n v="7.72"/>
    <n v="7810"/>
    <x v="2"/>
    <x v="2"/>
    <s v="Traffic"/>
    <n v="160000"/>
  </r>
  <r>
    <x v="272"/>
    <x v="1"/>
    <x v="213"/>
    <x v="1"/>
    <x v="6"/>
    <n v="2707"/>
    <n v="103"/>
    <n v="51"/>
    <n v="55302"/>
    <n v="18801"/>
    <n v="147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273"/>
    <x v="1"/>
    <x v="214"/>
    <x v="2"/>
    <x v="7"/>
    <n v="4782"/>
    <n v="210"/>
    <n v="311"/>
    <n v="29793"/>
    <n v="37543"/>
    <n v="145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74"/>
    <x v="1"/>
    <x v="214"/>
    <x v="2"/>
    <x v="4"/>
    <n v="1583"/>
    <n v="433"/>
    <n v="249"/>
    <n v="30256"/>
    <n v="47066"/>
    <n v="196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75"/>
    <x v="0"/>
    <x v="215"/>
    <x v="0"/>
    <x v="3"/>
    <n v="4210"/>
    <n v="319"/>
    <n v="350"/>
    <n v="37762"/>
    <n v="55162"/>
    <n v="204"/>
    <x v="0"/>
    <x v="0"/>
    <x v="0"/>
    <d v="2024-06-03T00:00:00"/>
    <n v="1472"/>
    <n v="296"/>
    <n v="370242"/>
    <n v="7.72"/>
    <n v="7810"/>
    <x v="0"/>
    <x v="0"/>
    <s v="Brand Awareness"/>
    <n v="175000"/>
  </r>
  <r>
    <x v="276"/>
    <x v="2"/>
    <x v="216"/>
    <x v="2"/>
    <x v="5"/>
    <n v="2633"/>
    <n v="318"/>
    <n v="380"/>
    <n v="40869"/>
    <n v="64474"/>
    <n v="245"/>
    <x v="0"/>
    <x v="2"/>
    <x v="2"/>
    <d v="2024-06-03T00:00:00"/>
    <n v="1402"/>
    <n v="68"/>
    <n v="124562"/>
    <n v="9.92"/>
    <n v="23125"/>
    <x v="2"/>
    <x v="2"/>
    <s v="Traffic"/>
    <n v="160000"/>
  </r>
  <r>
    <x v="277"/>
    <x v="2"/>
    <x v="217"/>
    <x v="2"/>
    <x v="5"/>
    <n v="3086"/>
    <n v="148"/>
    <n v="310"/>
    <n v="22824"/>
    <n v="58103"/>
    <n v="275"/>
    <x v="0"/>
    <x v="2"/>
    <x v="2"/>
    <d v="2024-06-03T00:00:00"/>
    <n v="1402"/>
    <n v="68"/>
    <n v="124562"/>
    <n v="9.92"/>
    <n v="23125"/>
    <x v="2"/>
    <x v="2"/>
    <s v="Traffic"/>
    <n v="160000"/>
  </r>
  <r>
    <x v="278"/>
    <x v="1"/>
    <x v="218"/>
    <x v="1"/>
    <x v="0"/>
    <n v="4095"/>
    <n v="385"/>
    <n v="400"/>
    <n v="45300"/>
    <n v="31795"/>
    <n v="80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79"/>
    <x v="1"/>
    <x v="219"/>
    <x v="1"/>
    <x v="2"/>
    <n v="4287"/>
    <n v="273"/>
    <n v="122"/>
    <n v="40792"/>
    <n v="23878"/>
    <n v="277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80"/>
    <x v="1"/>
    <x v="219"/>
    <x v="2"/>
    <x v="6"/>
    <n v="2418"/>
    <n v="161"/>
    <n v="360"/>
    <n v="30589"/>
    <n v="41383"/>
    <n v="88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81"/>
    <x v="1"/>
    <x v="220"/>
    <x v="1"/>
    <x v="8"/>
    <n v="2134"/>
    <n v="322"/>
    <n v="114"/>
    <n v="44338"/>
    <n v="52165"/>
    <n v="176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82"/>
    <x v="0"/>
    <x v="221"/>
    <x v="0"/>
    <x v="9"/>
    <n v="2162"/>
    <n v="318"/>
    <n v="83"/>
    <n v="46719"/>
    <n v="20482"/>
    <n v="185"/>
    <x v="0"/>
    <x v="0"/>
    <x v="0"/>
    <d v="2024-06-03T00:00:00"/>
    <n v="1472"/>
    <n v="296"/>
    <n v="370242"/>
    <n v="7.72"/>
    <n v="7810"/>
    <x v="0"/>
    <x v="0"/>
    <s v="Brand Awareness"/>
    <n v="175000"/>
  </r>
  <r>
    <x v="283"/>
    <x v="2"/>
    <x v="221"/>
    <x v="2"/>
    <x v="1"/>
    <n v="2169"/>
    <n v="240"/>
    <n v="57"/>
    <n v="26109"/>
    <n v="46667"/>
    <n v="133"/>
    <x v="2"/>
    <x v="1"/>
    <x v="1"/>
    <d v="2024-06-03T00:00:00"/>
    <n v="1402"/>
    <n v="68"/>
    <n v="124562"/>
    <n v="9.92"/>
    <n v="23125"/>
    <x v="1"/>
    <x v="1"/>
    <s v="Product Launch"/>
    <n v="200000"/>
  </r>
  <r>
    <x v="284"/>
    <x v="2"/>
    <x v="222"/>
    <x v="2"/>
    <x v="3"/>
    <n v="3987"/>
    <n v="171"/>
    <n v="274"/>
    <n v="45122"/>
    <n v="65431"/>
    <n v="168"/>
    <x v="0"/>
    <x v="2"/>
    <x v="2"/>
    <d v="2024-06-03T00:00:00"/>
    <n v="1402"/>
    <n v="68"/>
    <n v="124562"/>
    <n v="9.92"/>
    <n v="23125"/>
    <x v="2"/>
    <x v="2"/>
    <s v="Traffic"/>
    <n v="160000"/>
  </r>
  <r>
    <x v="285"/>
    <x v="0"/>
    <x v="223"/>
    <x v="2"/>
    <x v="8"/>
    <n v="4375"/>
    <n v="303"/>
    <n v="294"/>
    <n v="57468"/>
    <n v="53397"/>
    <n v="159"/>
    <x v="0"/>
    <x v="3"/>
    <x v="2"/>
    <d v="2024-06-03T00:00:00"/>
    <n v="1472"/>
    <n v="296"/>
    <n v="370242"/>
    <n v="7.72"/>
    <n v="7810"/>
    <x v="2"/>
    <x v="2"/>
    <s v="Traffic"/>
    <n v="160000"/>
  </r>
  <r>
    <x v="286"/>
    <x v="1"/>
    <x v="224"/>
    <x v="2"/>
    <x v="0"/>
    <n v="3615"/>
    <n v="192"/>
    <n v="162"/>
    <n v="27492"/>
    <n v="35341"/>
    <n v="125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87"/>
    <x v="1"/>
    <x v="225"/>
    <x v="1"/>
    <x v="0"/>
    <n v="3805"/>
    <n v="453"/>
    <n v="63"/>
    <n v="52395"/>
    <n v="72934"/>
    <n v="87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288"/>
    <x v="2"/>
    <x v="226"/>
    <x v="2"/>
    <x v="1"/>
    <n v="4896"/>
    <n v="466"/>
    <n v="233"/>
    <n v="28621"/>
    <n v="34270"/>
    <n v="84"/>
    <x v="2"/>
    <x v="1"/>
    <x v="1"/>
    <d v="2024-06-03T00:00:00"/>
    <n v="1402"/>
    <n v="68"/>
    <n v="124562"/>
    <n v="9.92"/>
    <n v="23125"/>
    <x v="1"/>
    <x v="1"/>
    <s v="Product Launch"/>
    <n v="200000"/>
  </r>
  <r>
    <x v="289"/>
    <x v="2"/>
    <x v="226"/>
    <x v="2"/>
    <x v="0"/>
    <n v="2478"/>
    <n v="427"/>
    <n v="242"/>
    <n v="59272"/>
    <n v="37833"/>
    <n v="214"/>
    <x v="2"/>
    <x v="1"/>
    <x v="1"/>
    <d v="2024-06-03T00:00:00"/>
    <n v="1402"/>
    <n v="68"/>
    <n v="124562"/>
    <n v="9.92"/>
    <n v="23125"/>
    <x v="1"/>
    <x v="1"/>
    <s v="Product Launch"/>
    <n v="200000"/>
  </r>
  <r>
    <x v="290"/>
    <x v="1"/>
    <x v="226"/>
    <x v="2"/>
    <x v="2"/>
    <n v="4432"/>
    <n v="223"/>
    <n v="299"/>
    <n v="59016"/>
    <n v="21742"/>
    <n v="171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91"/>
    <x v="1"/>
    <x v="227"/>
    <x v="1"/>
    <x v="0"/>
    <n v="4341"/>
    <n v="141"/>
    <n v="63"/>
    <n v="50081"/>
    <n v="27507"/>
    <n v="221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292"/>
    <x v="2"/>
    <x v="227"/>
    <x v="2"/>
    <x v="8"/>
    <n v="2284"/>
    <n v="187"/>
    <n v="260"/>
    <n v="37400"/>
    <n v="65014"/>
    <n v="157"/>
    <x v="2"/>
    <x v="1"/>
    <x v="1"/>
    <d v="2024-06-03T00:00:00"/>
    <n v="1402"/>
    <n v="68"/>
    <n v="124562"/>
    <n v="9.92"/>
    <n v="23125"/>
    <x v="1"/>
    <x v="1"/>
    <s v="Product Launch"/>
    <n v="200000"/>
  </r>
  <r>
    <x v="293"/>
    <x v="1"/>
    <x v="228"/>
    <x v="1"/>
    <x v="5"/>
    <n v="3956"/>
    <n v="319"/>
    <n v="61"/>
    <n v="58162"/>
    <n v="28720"/>
    <n v="213"/>
    <x v="1"/>
    <x v="1"/>
    <x v="1"/>
    <d v="2024-06-03T00:00:00"/>
    <n v="995"/>
    <n v="86"/>
    <n v="227958"/>
    <n v="8.0500000000000007"/>
    <n v="22788"/>
    <x v="1"/>
    <x v="1"/>
    <s v="Product Launch"/>
    <n v="200000"/>
  </r>
  <r>
    <x v="294"/>
    <x v="1"/>
    <x v="229"/>
    <x v="1"/>
    <x v="1"/>
    <n v="1433"/>
    <n v="452"/>
    <n v="305"/>
    <n v="54541"/>
    <n v="63700"/>
    <n v="296"/>
    <x v="0"/>
    <x v="4"/>
    <x v="1"/>
    <d v="2024-06-03T00:00:00"/>
    <n v="995"/>
    <n v="86"/>
    <n v="227958"/>
    <n v="8.0500000000000007"/>
    <n v="22788"/>
    <x v="1"/>
    <x v="1"/>
    <s v="Product Launch"/>
    <n v="200000"/>
  </r>
  <r>
    <x v="295"/>
    <x v="1"/>
    <x v="230"/>
    <x v="2"/>
    <x v="0"/>
    <n v="3611"/>
    <n v="127"/>
    <n v="139"/>
    <n v="44768"/>
    <n v="29435"/>
    <n v="178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96"/>
    <x v="2"/>
    <x v="231"/>
    <x v="1"/>
    <x v="9"/>
    <n v="4902"/>
    <n v="422"/>
    <n v="376"/>
    <n v="31674"/>
    <n v="53225"/>
    <n v="147"/>
    <x v="3"/>
    <x v="2"/>
    <x v="3"/>
    <d v="2024-06-03T00:00:00"/>
    <n v="1402"/>
    <n v="68"/>
    <n v="124562"/>
    <n v="9.92"/>
    <n v="23125"/>
    <x v="3"/>
    <x v="3"/>
    <s v="Engagement"/>
    <n v="225000"/>
  </r>
  <r>
    <x v="297"/>
    <x v="2"/>
    <x v="232"/>
    <x v="1"/>
    <x v="1"/>
    <n v="1342"/>
    <n v="332"/>
    <n v="163"/>
    <n v="51712"/>
    <n v="57922"/>
    <n v="168"/>
    <x v="3"/>
    <x v="2"/>
    <x v="3"/>
    <d v="2024-06-03T00:00:00"/>
    <n v="1402"/>
    <n v="68"/>
    <n v="124562"/>
    <n v="9.92"/>
    <n v="23125"/>
    <x v="3"/>
    <x v="3"/>
    <s v="Engagement"/>
    <n v="225000"/>
  </r>
  <r>
    <x v="298"/>
    <x v="1"/>
    <x v="233"/>
    <x v="2"/>
    <x v="1"/>
    <n v="2275"/>
    <n v="285"/>
    <n v="125"/>
    <n v="43970"/>
    <n v="74761"/>
    <n v="83"/>
    <x v="3"/>
    <x v="2"/>
    <x v="1"/>
    <d v="2024-06-03T00:00:00"/>
    <n v="995"/>
    <n v="86"/>
    <n v="227958"/>
    <n v="8.0500000000000007"/>
    <n v="22788"/>
    <x v="1"/>
    <x v="1"/>
    <s v="Product Launch"/>
    <n v="200000"/>
  </r>
  <r>
    <x v="299"/>
    <x v="1"/>
    <x v="234"/>
    <x v="1"/>
    <x v="0"/>
    <n v="3219"/>
    <n v="424"/>
    <n v="267"/>
    <n v="48879"/>
    <n v="37691"/>
    <n v="224"/>
    <x v="0"/>
    <x v="4"/>
    <x v="1"/>
    <d v="2024-06-03T00:00:00"/>
    <n v="995"/>
    <n v="86"/>
    <n v="227958"/>
    <n v="8.0500000000000007"/>
    <n v="22788"/>
    <x v="1"/>
    <x v="1"/>
    <s v="Product Launch"/>
    <n v="20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x v="0"/>
    <x v="0"/>
    <n v="1402"/>
    <n v="68"/>
    <n v="124562"/>
    <n v="9.92"/>
    <n v="23125"/>
  </r>
  <r>
    <x v="0"/>
    <x v="1"/>
    <n v="995"/>
    <n v="86"/>
    <n v="227958"/>
    <n v="8.0500000000000007"/>
    <n v="22788"/>
  </r>
  <r>
    <x v="0"/>
    <x v="2"/>
    <n v="1472"/>
    <n v="296"/>
    <n v="370242"/>
    <n v="7.72"/>
    <n v="7810"/>
  </r>
  <r>
    <x v="1"/>
    <x v="0"/>
    <n v="1018"/>
    <n v="90"/>
    <n v="92474"/>
    <n v="9.4"/>
    <n v="11966"/>
  </r>
  <r>
    <x v="1"/>
    <x v="1"/>
    <n v="1461"/>
    <n v="64"/>
    <n v="328902"/>
    <n v="9.02"/>
    <n v="26298"/>
  </r>
  <r>
    <x v="1"/>
    <x v="2"/>
    <n v="545"/>
    <n v="93"/>
    <n v="391621"/>
    <n v="9.9600000000000009"/>
    <n v="22029"/>
  </r>
  <r>
    <x v="2"/>
    <x v="0"/>
    <n v="881"/>
    <n v="291"/>
    <n v="95885"/>
    <n v="5.29"/>
    <n v="12391"/>
  </r>
  <r>
    <x v="2"/>
    <x v="1"/>
    <n v="1414"/>
    <n v="131"/>
    <n v="245947"/>
    <n v="8.3000000000000007"/>
    <n v="14477"/>
  </r>
  <r>
    <x v="2"/>
    <x v="2"/>
    <n v="1472"/>
    <n v="170"/>
    <n v="250428"/>
    <n v="4.66"/>
    <n v="25040"/>
  </r>
  <r>
    <x v="3"/>
    <x v="0"/>
    <n v="809"/>
    <n v="197"/>
    <n v="87186"/>
    <n v="9.48"/>
    <n v="22619"/>
  </r>
  <r>
    <x v="3"/>
    <x v="1"/>
    <n v="1371"/>
    <n v="250"/>
    <n v="128620"/>
    <n v="7.11"/>
    <n v="12399"/>
  </r>
  <r>
    <x v="3"/>
    <x v="2"/>
    <n v="844"/>
    <n v="144"/>
    <n v="126015"/>
    <n v="9.65"/>
    <n v="22456"/>
  </r>
  <r>
    <x v="4"/>
    <x v="2"/>
    <n v="1218"/>
    <n v="101"/>
    <n v="300397"/>
    <n v="4.33"/>
    <n v="12277"/>
  </r>
  <r>
    <x v="4"/>
    <x v="0"/>
    <n v="786"/>
    <n v="72"/>
    <n v="178615"/>
    <n v="5.43"/>
    <n v="19328"/>
  </r>
  <r>
    <x v="4"/>
    <x v="1"/>
    <n v="845"/>
    <n v="250"/>
    <n v="218228"/>
    <n v="4.5199999999999996"/>
    <n v="21107"/>
  </r>
  <r>
    <x v="5"/>
    <x v="0"/>
    <n v="797"/>
    <n v="130"/>
    <n v="340121"/>
    <n v="8.52"/>
    <n v="11684"/>
  </r>
  <r>
    <x v="5"/>
    <x v="1"/>
    <n v="1471"/>
    <n v="100"/>
    <n v="76866"/>
    <n v="8.5500000000000007"/>
    <n v="14412"/>
  </r>
  <r>
    <x v="5"/>
    <x v="2"/>
    <n v="1253"/>
    <n v="136"/>
    <n v="193131"/>
    <n v="7.99"/>
    <n v="15924"/>
  </r>
  <r>
    <x v="6"/>
    <x v="0"/>
    <n v="616"/>
    <n v="257"/>
    <n v="169665"/>
    <n v="6.31"/>
    <n v="12390"/>
  </r>
  <r>
    <x v="6"/>
    <x v="1"/>
    <n v="1308"/>
    <n v="210"/>
    <n v="263729"/>
    <n v="8.5299999999999994"/>
    <n v="25742"/>
  </r>
  <r>
    <x v="6"/>
    <x v="2"/>
    <n v="981"/>
    <n v="69"/>
    <n v="206921"/>
    <n v="8.42"/>
    <n v="10495"/>
  </r>
  <r>
    <x v="7"/>
    <x v="2"/>
    <n v="1241"/>
    <n v="116"/>
    <n v="380606"/>
    <n v="4.2"/>
    <n v="24617"/>
  </r>
  <r>
    <x v="7"/>
    <x v="0"/>
    <n v="866"/>
    <n v="74"/>
    <n v="204121"/>
    <n v="9.34"/>
    <n v="7797"/>
  </r>
  <r>
    <x v="7"/>
    <x v="1"/>
    <n v="547"/>
    <n v="183"/>
    <n v="266350"/>
    <n v="5.65"/>
    <n v="15595"/>
  </r>
  <r>
    <x v="8"/>
    <x v="2"/>
    <n v="983"/>
    <n v="134"/>
    <n v="352178"/>
    <n v="3.55"/>
    <n v="11421"/>
  </r>
  <r>
    <x v="8"/>
    <x v="0"/>
    <n v="973"/>
    <n v="104"/>
    <n v="376358"/>
    <n v="3.87"/>
    <n v="9847"/>
  </r>
  <r>
    <x v="8"/>
    <x v="1"/>
    <n v="611"/>
    <n v="197"/>
    <n v="79423"/>
    <n v="5.82"/>
    <n v="13644"/>
  </r>
  <r>
    <x v="9"/>
    <x v="0"/>
    <n v="1449"/>
    <n v="96"/>
    <n v="200636"/>
    <n v="9.92"/>
    <n v="15613"/>
  </r>
  <r>
    <x v="9"/>
    <x v="1"/>
    <n v="752"/>
    <n v="170"/>
    <n v="132756"/>
    <n v="8.17"/>
    <n v="23900"/>
  </r>
  <r>
    <x v="9"/>
    <x v="2"/>
    <n v="937"/>
    <n v="179"/>
    <n v="318098"/>
    <n v="5.3"/>
    <n v="5836"/>
  </r>
  <r>
    <x v="10"/>
    <x v="0"/>
    <n v="1060"/>
    <n v="83"/>
    <n v="68724"/>
    <n v="5.98"/>
    <n v="5624"/>
  </r>
  <r>
    <x v="10"/>
    <x v="1"/>
    <n v="1456"/>
    <n v="265"/>
    <n v="115505"/>
    <n v="7.49"/>
    <n v="10311"/>
  </r>
  <r>
    <x v="10"/>
    <x v="2"/>
    <n v="1109"/>
    <n v="205"/>
    <n v="276722"/>
    <n v="9.3800000000000008"/>
    <n v="8274"/>
  </r>
  <r>
    <x v="11"/>
    <x v="2"/>
    <n v="1240"/>
    <n v="231"/>
    <n v="165035"/>
    <n v="6.05"/>
    <n v="18267"/>
  </r>
  <r>
    <x v="11"/>
    <x v="0"/>
    <n v="1002"/>
    <n v="93"/>
    <n v="353538"/>
    <n v="5.84"/>
    <n v="6031"/>
  </r>
  <r>
    <x v="11"/>
    <x v="1"/>
    <n v="571"/>
    <n v="189"/>
    <n v="61445"/>
    <n v="5.41"/>
    <n v="27829"/>
  </r>
  <r>
    <x v="12"/>
    <x v="2"/>
    <n v="1456"/>
    <n v="290"/>
    <n v="271044"/>
    <n v="7.17"/>
    <n v="13051"/>
  </r>
  <r>
    <x v="12"/>
    <x v="1"/>
    <n v="537"/>
    <n v="275"/>
    <n v="236238"/>
    <n v="5.87"/>
    <n v="26644"/>
  </r>
  <r>
    <x v="12"/>
    <x v="0"/>
    <n v="1154"/>
    <n v="132"/>
    <n v="194595"/>
    <n v="7.54"/>
    <n v="26624"/>
  </r>
  <r>
    <x v="13"/>
    <x v="0"/>
    <n v="721"/>
    <n v="206"/>
    <n v="334887"/>
    <n v="6.05"/>
    <n v="14217"/>
  </r>
  <r>
    <x v="13"/>
    <x v="1"/>
    <n v="1098"/>
    <n v="142"/>
    <n v="359150"/>
    <n v="7.51"/>
    <n v="16385"/>
  </r>
  <r>
    <x v="13"/>
    <x v="2"/>
    <n v="1096"/>
    <n v="65"/>
    <n v="358295"/>
    <n v="7.66"/>
    <n v="24548"/>
  </r>
  <r>
    <x v="14"/>
    <x v="2"/>
    <n v="854"/>
    <n v="129"/>
    <n v="310903"/>
    <n v="7.83"/>
    <n v="16875"/>
  </r>
  <r>
    <x v="14"/>
    <x v="0"/>
    <n v="912"/>
    <n v="275"/>
    <n v="368454"/>
    <n v="6.03"/>
    <n v="9195"/>
  </r>
  <r>
    <x v="14"/>
    <x v="1"/>
    <n v="1430"/>
    <n v="162"/>
    <n v="269082"/>
    <n v="3.4"/>
    <n v="18071"/>
  </r>
  <r>
    <x v="15"/>
    <x v="1"/>
    <n v="1373"/>
    <n v="82"/>
    <n v="371015"/>
    <n v="9.52"/>
    <n v="20306"/>
  </r>
  <r>
    <x v="15"/>
    <x v="2"/>
    <n v="685"/>
    <n v="285"/>
    <n v="177452"/>
    <n v="3.36"/>
    <n v="21134"/>
  </r>
  <r>
    <x v="15"/>
    <x v="0"/>
    <n v="681"/>
    <n v="210"/>
    <n v="248581"/>
    <n v="8.76"/>
    <n v="9567"/>
  </r>
  <r>
    <x v="16"/>
    <x v="2"/>
    <n v="769"/>
    <n v="295"/>
    <n v="344771"/>
    <n v="8.06"/>
    <n v="23963"/>
  </r>
  <r>
    <x v="16"/>
    <x v="1"/>
    <n v="1437"/>
    <n v="239"/>
    <n v="362441"/>
    <n v="5.57"/>
    <n v="10253"/>
  </r>
  <r>
    <x v="16"/>
    <x v="0"/>
    <n v="1290"/>
    <n v="177"/>
    <n v="80745"/>
    <n v="9.2200000000000006"/>
    <n v="26872"/>
  </r>
  <r>
    <x v="17"/>
    <x v="0"/>
    <n v="1416"/>
    <n v="284"/>
    <n v="374952"/>
    <n v="3.45"/>
    <n v="11335"/>
  </r>
  <r>
    <x v="17"/>
    <x v="1"/>
    <n v="998"/>
    <n v="154"/>
    <n v="179781"/>
    <n v="9.58"/>
    <n v="12115"/>
  </r>
  <r>
    <x v="17"/>
    <x v="2"/>
    <n v="1421"/>
    <n v="246"/>
    <n v="358581"/>
    <n v="8.8800000000000008"/>
    <n v="24358"/>
  </r>
  <r>
    <x v="18"/>
    <x v="0"/>
    <n v="764"/>
    <n v="205"/>
    <n v="319294"/>
    <n v="6.23"/>
    <n v="12181"/>
  </r>
  <r>
    <x v="18"/>
    <x v="1"/>
    <n v="678"/>
    <n v="124"/>
    <n v="192022"/>
    <n v="8.4499999999999993"/>
    <n v="17729"/>
  </r>
  <r>
    <x v="18"/>
    <x v="2"/>
    <n v="1328"/>
    <n v="103"/>
    <n v="151462"/>
    <n v="8.4"/>
    <n v="10881"/>
  </r>
  <r>
    <x v="19"/>
    <x v="0"/>
    <n v="1161"/>
    <n v="269"/>
    <n v="188193"/>
    <n v="7.34"/>
    <n v="18576"/>
  </r>
  <r>
    <x v="19"/>
    <x v="1"/>
    <n v="588"/>
    <n v="52"/>
    <n v="292040"/>
    <n v="8.14"/>
    <n v="9383"/>
  </r>
  <r>
    <x v="19"/>
    <x v="2"/>
    <n v="1457"/>
    <n v="215"/>
    <n v="325325"/>
    <n v="9.58"/>
    <n v="14178"/>
  </r>
  <r>
    <x v="20"/>
    <x v="2"/>
    <n v="1237"/>
    <n v="155"/>
    <n v="149916"/>
    <n v="4.4800000000000004"/>
    <n v="16921"/>
  </r>
  <r>
    <x v="20"/>
    <x v="1"/>
    <n v="886"/>
    <n v="124"/>
    <n v="141161"/>
    <n v="8.19"/>
    <n v="14215"/>
  </r>
  <r>
    <x v="20"/>
    <x v="0"/>
    <n v="1190"/>
    <n v="242"/>
    <n v="86849"/>
    <n v="8.06"/>
    <n v="21254"/>
  </r>
  <r>
    <x v="21"/>
    <x v="0"/>
    <n v="1435"/>
    <n v="261"/>
    <n v="308533"/>
    <n v="4.5199999999999996"/>
    <n v="25130"/>
  </r>
  <r>
    <x v="21"/>
    <x v="1"/>
    <n v="746"/>
    <n v="282"/>
    <n v="293894"/>
    <n v="5.42"/>
    <n v="25537"/>
  </r>
  <r>
    <x v="21"/>
    <x v="2"/>
    <n v="759"/>
    <n v="216"/>
    <n v="147656"/>
    <n v="4.08"/>
    <n v="24943"/>
  </r>
  <r>
    <x v="22"/>
    <x v="0"/>
    <n v="1437"/>
    <n v="235"/>
    <n v="326791"/>
    <n v="4.0599999999999996"/>
    <n v="14563"/>
  </r>
  <r>
    <x v="22"/>
    <x v="1"/>
    <n v="1463"/>
    <n v="73"/>
    <n v="348877"/>
    <n v="9.91"/>
    <n v="26273"/>
  </r>
  <r>
    <x v="22"/>
    <x v="2"/>
    <n v="1208"/>
    <n v="224"/>
    <n v="122730"/>
    <n v="8.7200000000000006"/>
    <n v="10858"/>
  </r>
  <r>
    <x v="23"/>
    <x v="0"/>
    <n v="1391"/>
    <n v="187"/>
    <n v="306508"/>
    <n v="8.3800000000000008"/>
    <n v="25038"/>
  </r>
  <r>
    <x v="23"/>
    <x v="1"/>
    <n v="655"/>
    <n v="123"/>
    <n v="202472"/>
    <n v="7.56"/>
    <n v="9092"/>
  </r>
  <r>
    <x v="23"/>
    <x v="2"/>
    <n v="1148"/>
    <n v="90"/>
    <n v="227249"/>
    <n v="7.24"/>
    <n v="17662"/>
  </r>
  <r>
    <x v="24"/>
    <x v="1"/>
    <n v="791"/>
    <n v="214"/>
    <n v="114738"/>
    <n v="6.62"/>
    <n v="25347"/>
  </r>
  <r>
    <x v="24"/>
    <x v="2"/>
    <n v="793"/>
    <n v="111"/>
    <n v="333500"/>
    <n v="6.36"/>
    <n v="8910"/>
  </r>
  <r>
    <x v="24"/>
    <x v="0"/>
    <n v="946"/>
    <n v="270"/>
    <n v="246567"/>
    <n v="4.53"/>
    <n v="5924"/>
  </r>
  <r>
    <x v="25"/>
    <x v="0"/>
    <n v="663"/>
    <n v="213"/>
    <n v="352677"/>
    <n v="9"/>
    <n v="20438"/>
  </r>
  <r>
    <x v="25"/>
    <x v="1"/>
    <n v="954"/>
    <n v="271"/>
    <n v="160936"/>
    <n v="8.83"/>
    <n v="8760"/>
  </r>
  <r>
    <x v="25"/>
    <x v="2"/>
    <n v="1313"/>
    <n v="159"/>
    <n v="197183"/>
    <n v="9.7100000000000009"/>
    <n v="6625"/>
  </r>
  <r>
    <x v="26"/>
    <x v="0"/>
    <n v="895"/>
    <n v="87"/>
    <n v="171271"/>
    <n v="6.68"/>
    <n v="23329"/>
  </r>
  <r>
    <x v="26"/>
    <x v="1"/>
    <n v="1027"/>
    <n v="156"/>
    <n v="111293"/>
    <n v="5.51"/>
    <n v="7299"/>
  </r>
  <r>
    <x v="26"/>
    <x v="2"/>
    <n v="990"/>
    <n v="286"/>
    <n v="351493"/>
    <n v="7.97"/>
    <n v="14496"/>
  </r>
  <r>
    <x v="27"/>
    <x v="0"/>
    <n v="875"/>
    <n v="264"/>
    <n v="345631"/>
    <n v="9.18"/>
    <n v="25703"/>
  </r>
  <r>
    <x v="27"/>
    <x v="1"/>
    <n v="599"/>
    <n v="194"/>
    <n v="105622"/>
    <n v="6.44"/>
    <n v="15108"/>
  </r>
  <r>
    <x v="27"/>
    <x v="2"/>
    <n v="630"/>
    <n v="248"/>
    <n v="119054"/>
    <n v="5.0199999999999996"/>
    <n v="18867"/>
  </r>
  <r>
    <x v="28"/>
    <x v="2"/>
    <n v="1182"/>
    <n v="83"/>
    <n v="140300"/>
    <n v="3.27"/>
    <n v="21079"/>
  </r>
  <r>
    <x v="28"/>
    <x v="1"/>
    <n v="632"/>
    <n v="155"/>
    <n v="170432"/>
    <n v="9.17"/>
    <n v="12840"/>
  </r>
  <r>
    <x v="28"/>
    <x v="0"/>
    <n v="1350"/>
    <n v="233"/>
    <n v="171670"/>
    <n v="4.53"/>
    <n v="17574"/>
  </r>
  <r>
    <x v="29"/>
    <x v="0"/>
    <n v="661"/>
    <n v="94"/>
    <n v="116538"/>
    <n v="5.31"/>
    <n v="23486"/>
  </r>
  <r>
    <x v="29"/>
    <x v="1"/>
    <n v="1360"/>
    <n v="227"/>
    <n v="176902"/>
    <n v="6.03"/>
    <n v="5960"/>
  </r>
  <r>
    <x v="29"/>
    <x v="2"/>
    <n v="935"/>
    <n v="85"/>
    <n v="326821"/>
    <n v="8.89"/>
    <n v="13301"/>
  </r>
  <r>
    <x v="30"/>
    <x v="0"/>
    <n v="664"/>
    <n v="251"/>
    <n v="240598"/>
    <n v="4.79"/>
    <n v="10563"/>
  </r>
  <r>
    <x v="30"/>
    <x v="1"/>
    <n v="1490"/>
    <n v="103"/>
    <n v="373274"/>
    <n v="4.8"/>
    <n v="19949"/>
  </r>
  <r>
    <x v="30"/>
    <x v="2"/>
    <n v="601"/>
    <n v="64"/>
    <n v="123272"/>
    <n v="4.07"/>
    <n v="14273"/>
  </r>
  <r>
    <x v="31"/>
    <x v="0"/>
    <n v="613"/>
    <n v="170"/>
    <n v="139266"/>
    <n v="6.06"/>
    <n v="9247"/>
  </r>
  <r>
    <x v="31"/>
    <x v="1"/>
    <n v="1340"/>
    <n v="57"/>
    <n v="155927"/>
    <n v="7.79"/>
    <n v="11972"/>
  </r>
  <r>
    <x v="31"/>
    <x v="2"/>
    <n v="953"/>
    <n v="228"/>
    <n v="258398"/>
    <n v="9.0500000000000007"/>
    <n v="13314"/>
  </r>
  <r>
    <x v="32"/>
    <x v="1"/>
    <n v="1414"/>
    <n v="60"/>
    <n v="341856"/>
    <n v="8.76"/>
    <n v="6868"/>
  </r>
  <r>
    <x v="32"/>
    <x v="2"/>
    <n v="685"/>
    <n v="165"/>
    <n v="175860"/>
    <n v="6.26"/>
    <n v="6027"/>
  </r>
  <r>
    <x v="32"/>
    <x v="0"/>
    <n v="532"/>
    <n v="65"/>
    <n v="338561"/>
    <n v="3.5"/>
    <n v="14749"/>
  </r>
  <r>
    <x v="33"/>
    <x v="2"/>
    <n v="1105"/>
    <n v="261"/>
    <n v="333851"/>
    <n v="6.03"/>
    <n v="11181"/>
  </r>
  <r>
    <x v="33"/>
    <x v="0"/>
    <n v="601"/>
    <n v="159"/>
    <n v="327722"/>
    <n v="3.33"/>
    <n v="25267"/>
  </r>
  <r>
    <x v="33"/>
    <x v="1"/>
    <n v="841"/>
    <n v="295"/>
    <n v="271638"/>
    <n v="9.15"/>
    <n v="5900"/>
  </r>
  <r>
    <x v="34"/>
    <x v="0"/>
    <n v="566"/>
    <n v="225"/>
    <n v="368984"/>
    <n v="9.82"/>
    <n v="9592"/>
  </r>
  <r>
    <x v="34"/>
    <x v="1"/>
    <n v="1149"/>
    <n v="280"/>
    <n v="167310"/>
    <n v="3.7"/>
    <n v="5291"/>
  </r>
  <r>
    <x v="34"/>
    <x v="2"/>
    <n v="819"/>
    <n v="101"/>
    <n v="194811"/>
    <n v="3.35"/>
    <n v="22244"/>
  </r>
  <r>
    <x v="35"/>
    <x v="0"/>
    <n v="795"/>
    <n v="60"/>
    <n v="314982"/>
    <n v="7.31"/>
    <n v="6824"/>
  </r>
  <r>
    <x v="35"/>
    <x v="1"/>
    <n v="681"/>
    <n v="158"/>
    <n v="75960"/>
    <n v="3.13"/>
    <n v="24112"/>
  </r>
  <r>
    <x v="35"/>
    <x v="2"/>
    <n v="534"/>
    <n v="112"/>
    <n v="360759"/>
    <n v="4.8899999999999997"/>
    <n v="25478"/>
  </r>
  <r>
    <x v="36"/>
    <x v="0"/>
    <n v="1066"/>
    <n v="151"/>
    <n v="297090"/>
    <n v="8.6300000000000008"/>
    <n v="11235"/>
  </r>
  <r>
    <x v="36"/>
    <x v="1"/>
    <n v="1270"/>
    <n v="162"/>
    <n v="92040"/>
    <n v="8.0299999999999994"/>
    <n v="6120"/>
  </r>
  <r>
    <x v="36"/>
    <x v="2"/>
    <n v="536"/>
    <n v="198"/>
    <n v="174610"/>
    <n v="7.85"/>
    <n v="20572"/>
  </r>
  <r>
    <x v="37"/>
    <x v="2"/>
    <n v="646"/>
    <n v="290"/>
    <n v="336383"/>
    <n v="7.04"/>
    <n v="6532"/>
  </r>
  <r>
    <x v="37"/>
    <x v="1"/>
    <n v="681"/>
    <n v="218"/>
    <n v="198882"/>
    <n v="7.16"/>
    <n v="22234"/>
  </r>
  <r>
    <x v="37"/>
    <x v="0"/>
    <n v="819"/>
    <n v="95"/>
    <n v="177376"/>
    <n v="6.12"/>
    <n v="14975"/>
  </r>
  <r>
    <x v="38"/>
    <x v="0"/>
    <n v="645"/>
    <n v="267"/>
    <n v="346890"/>
    <n v="3.71"/>
    <n v="24858"/>
  </r>
  <r>
    <x v="38"/>
    <x v="1"/>
    <n v="886"/>
    <n v="250"/>
    <n v="168170"/>
    <n v="4.12"/>
    <n v="13883"/>
  </r>
  <r>
    <x v="38"/>
    <x v="2"/>
    <n v="978"/>
    <n v="279"/>
    <n v="368872"/>
    <n v="6.82"/>
    <n v="18654"/>
  </r>
  <r>
    <x v="39"/>
    <x v="0"/>
    <n v="1444"/>
    <n v="165"/>
    <n v="116436"/>
    <n v="8.2200000000000006"/>
    <n v="25234"/>
  </r>
  <r>
    <x v="39"/>
    <x v="1"/>
    <n v="1234"/>
    <n v="228"/>
    <n v="127502"/>
    <n v="7.71"/>
    <n v="6772"/>
  </r>
  <r>
    <x v="39"/>
    <x v="2"/>
    <n v="665"/>
    <n v="187"/>
    <n v="274567"/>
    <n v="7.39"/>
    <n v="22428"/>
  </r>
  <r>
    <x v="40"/>
    <x v="0"/>
    <n v="631"/>
    <n v="86"/>
    <n v="295090"/>
    <n v="7.89"/>
    <n v="11911"/>
  </r>
  <r>
    <x v="40"/>
    <x v="1"/>
    <n v="1159"/>
    <n v="154"/>
    <n v="194994"/>
    <n v="6.39"/>
    <n v="21900"/>
  </r>
  <r>
    <x v="40"/>
    <x v="2"/>
    <n v="950"/>
    <n v="185"/>
    <n v="340750"/>
    <n v="6.77"/>
    <n v="25542"/>
  </r>
  <r>
    <x v="41"/>
    <x v="1"/>
    <n v="576"/>
    <n v="80"/>
    <n v="345688"/>
    <n v="4.1100000000000003"/>
    <n v="20474"/>
  </r>
  <r>
    <x v="41"/>
    <x v="2"/>
    <n v="1274"/>
    <n v="146"/>
    <n v="263488"/>
    <n v="9.58"/>
    <n v="8698"/>
  </r>
  <r>
    <x v="41"/>
    <x v="0"/>
    <n v="693"/>
    <n v="129"/>
    <n v="296031"/>
    <n v="3.41"/>
    <n v="7140"/>
  </r>
  <r>
    <x v="42"/>
    <x v="0"/>
    <n v="818"/>
    <n v="253"/>
    <n v="184911"/>
    <n v="3.39"/>
    <n v="10402"/>
  </r>
  <r>
    <x v="42"/>
    <x v="1"/>
    <n v="975"/>
    <n v="162"/>
    <n v="124497"/>
    <n v="9.58"/>
    <n v="26618"/>
  </r>
  <r>
    <x v="42"/>
    <x v="2"/>
    <n v="1398"/>
    <n v="97"/>
    <n v="397607"/>
    <n v="5.09"/>
    <n v="7975"/>
  </r>
  <r>
    <x v="43"/>
    <x v="0"/>
    <n v="591"/>
    <n v="155"/>
    <n v="138521"/>
    <n v="7.85"/>
    <n v="19054"/>
  </r>
  <r>
    <x v="43"/>
    <x v="1"/>
    <n v="1232"/>
    <n v="254"/>
    <n v="107718"/>
    <n v="9.7100000000000009"/>
    <n v="13740"/>
  </r>
  <r>
    <x v="43"/>
    <x v="2"/>
    <n v="1425"/>
    <n v="58"/>
    <n v="202234"/>
    <n v="6.67"/>
    <n v="18442"/>
  </r>
  <r>
    <x v="44"/>
    <x v="0"/>
    <n v="1417"/>
    <n v="80"/>
    <n v="340987"/>
    <n v="6.13"/>
    <n v="10104"/>
  </r>
  <r>
    <x v="44"/>
    <x v="1"/>
    <n v="1222"/>
    <n v="208"/>
    <n v="340098"/>
    <n v="7.34"/>
    <n v="21771"/>
  </r>
  <r>
    <x v="44"/>
    <x v="2"/>
    <n v="1071"/>
    <n v="131"/>
    <n v="254727"/>
    <n v="6.87"/>
    <n v="22191"/>
  </r>
  <r>
    <x v="45"/>
    <x v="2"/>
    <n v="1472"/>
    <n v="281"/>
    <n v="258115"/>
    <n v="7.23"/>
    <n v="27393"/>
  </r>
  <r>
    <x v="45"/>
    <x v="1"/>
    <n v="1472"/>
    <n v="137"/>
    <n v="213950"/>
    <n v="6.96"/>
    <n v="23736"/>
  </r>
  <r>
    <x v="45"/>
    <x v="0"/>
    <n v="772"/>
    <n v="82"/>
    <n v="345659"/>
    <n v="3.52"/>
    <n v="27753"/>
  </r>
  <r>
    <x v="46"/>
    <x v="0"/>
    <n v="585"/>
    <n v="232"/>
    <n v="321258"/>
    <n v="7.42"/>
    <n v="10343"/>
  </r>
  <r>
    <x v="46"/>
    <x v="1"/>
    <n v="747"/>
    <n v="261"/>
    <n v="338650"/>
    <n v="7.73"/>
    <n v="25259"/>
  </r>
  <r>
    <x v="46"/>
    <x v="2"/>
    <n v="1113"/>
    <n v="224"/>
    <n v="272989"/>
    <n v="5.13"/>
    <n v="24827"/>
  </r>
  <r>
    <x v="47"/>
    <x v="0"/>
    <n v="1100"/>
    <n v="117"/>
    <n v="260204"/>
    <n v="4.4000000000000004"/>
    <n v="11908"/>
  </r>
  <r>
    <x v="47"/>
    <x v="1"/>
    <n v="751"/>
    <n v="170"/>
    <n v="283278"/>
    <n v="3.49"/>
    <n v="11005"/>
  </r>
  <r>
    <x v="47"/>
    <x v="2"/>
    <n v="864"/>
    <n v="50"/>
    <n v="277445"/>
    <n v="3.57"/>
    <n v="26333"/>
  </r>
  <r>
    <x v="48"/>
    <x v="0"/>
    <n v="1146"/>
    <n v="227"/>
    <n v="353781"/>
    <n v="6.41"/>
    <n v="5495"/>
  </r>
  <r>
    <x v="48"/>
    <x v="1"/>
    <n v="883"/>
    <n v="207"/>
    <n v="265019"/>
    <n v="6.04"/>
    <n v="15655"/>
  </r>
  <r>
    <x v="48"/>
    <x v="2"/>
    <n v="622"/>
    <n v="163"/>
    <n v="231925"/>
    <n v="9.18"/>
    <n v="13763"/>
  </r>
  <r>
    <x v="49"/>
    <x v="1"/>
    <n v="544"/>
    <n v="97"/>
    <n v="168375"/>
    <n v="8.66"/>
    <n v="12774"/>
  </r>
  <r>
    <x v="49"/>
    <x v="2"/>
    <n v="624"/>
    <n v="247"/>
    <n v="252763"/>
    <n v="3.89"/>
    <n v="19000"/>
  </r>
  <r>
    <x v="49"/>
    <x v="0"/>
    <n v="837"/>
    <n v="261"/>
    <n v="366149"/>
    <n v="6.54"/>
    <n v="26073"/>
  </r>
  <r>
    <x v="50"/>
    <x v="2"/>
    <n v="1358"/>
    <n v="77"/>
    <n v="169688"/>
    <n v="5.25"/>
    <n v="7859"/>
  </r>
  <r>
    <x v="50"/>
    <x v="0"/>
    <n v="1073"/>
    <n v="141"/>
    <n v="118393"/>
    <n v="7.95"/>
    <n v="14051"/>
  </r>
  <r>
    <x v="50"/>
    <x v="1"/>
    <n v="1430"/>
    <n v="74"/>
    <n v="327012"/>
    <n v="6.66"/>
    <n v="27782"/>
  </r>
  <r>
    <x v="51"/>
    <x v="0"/>
    <n v="1242"/>
    <n v="201"/>
    <n v="271935"/>
    <n v="5.07"/>
    <n v="15773"/>
  </r>
  <r>
    <x v="51"/>
    <x v="1"/>
    <n v="1389"/>
    <n v="205"/>
    <n v="315981"/>
    <n v="7.62"/>
    <n v="20595"/>
  </r>
  <r>
    <x v="51"/>
    <x v="2"/>
    <n v="826"/>
    <n v="142"/>
    <n v="341016"/>
    <n v="7.44"/>
    <n v="12031"/>
  </r>
  <r>
    <x v="52"/>
    <x v="0"/>
    <n v="618"/>
    <n v="264"/>
    <n v="285164"/>
    <n v="4.8600000000000003"/>
    <n v="15128"/>
  </r>
  <r>
    <x v="52"/>
    <x v="1"/>
    <n v="1419"/>
    <n v="293"/>
    <n v="116632"/>
    <n v="6.93"/>
    <n v="11826"/>
  </r>
  <r>
    <x v="52"/>
    <x v="2"/>
    <n v="637"/>
    <n v="68"/>
    <n v="115694"/>
    <n v="9.99"/>
    <n v="12562"/>
  </r>
  <r>
    <x v="53"/>
    <x v="0"/>
    <n v="917"/>
    <n v="187"/>
    <n v="64444"/>
    <n v="5.22"/>
    <n v="13013"/>
  </r>
  <r>
    <x v="53"/>
    <x v="1"/>
    <n v="810"/>
    <n v="232"/>
    <n v="362559"/>
    <n v="5.17"/>
    <n v="12937"/>
  </r>
  <r>
    <x v="53"/>
    <x v="2"/>
    <n v="1183"/>
    <n v="248"/>
    <n v="226881"/>
    <n v="5.17"/>
    <n v="14534"/>
  </r>
  <r>
    <x v="54"/>
    <x v="2"/>
    <n v="1145"/>
    <n v="151"/>
    <n v="182759"/>
    <n v="5.99"/>
    <n v="20109"/>
  </r>
  <r>
    <x v="54"/>
    <x v="1"/>
    <n v="540"/>
    <n v="215"/>
    <n v="62837"/>
    <n v="5.3"/>
    <n v="10615"/>
  </r>
  <r>
    <x v="54"/>
    <x v="0"/>
    <n v="765"/>
    <n v="67"/>
    <n v="283537"/>
    <n v="6.18"/>
    <n v="8182"/>
  </r>
  <r>
    <x v="55"/>
    <x v="0"/>
    <n v="564"/>
    <n v="244"/>
    <n v="279405"/>
    <n v="8.43"/>
    <n v="26024"/>
  </r>
  <r>
    <x v="55"/>
    <x v="1"/>
    <n v="668"/>
    <n v="124"/>
    <n v="257485"/>
    <n v="7.55"/>
    <n v="26730"/>
  </r>
  <r>
    <x v="55"/>
    <x v="2"/>
    <n v="761"/>
    <n v="241"/>
    <n v="154977"/>
    <n v="5.63"/>
    <n v="10563"/>
  </r>
  <r>
    <x v="56"/>
    <x v="0"/>
    <n v="593"/>
    <n v="108"/>
    <n v="216500"/>
    <n v="4.71"/>
    <n v="27575"/>
  </r>
  <r>
    <x v="56"/>
    <x v="1"/>
    <n v="1349"/>
    <n v="115"/>
    <n v="102102"/>
    <n v="5.28"/>
    <n v="14479"/>
  </r>
  <r>
    <x v="56"/>
    <x v="2"/>
    <n v="693"/>
    <n v="97"/>
    <n v="92025"/>
    <n v="5.95"/>
    <n v="15915"/>
  </r>
  <r>
    <x v="57"/>
    <x v="0"/>
    <n v="974"/>
    <n v="143"/>
    <n v="247965"/>
    <n v="9.98"/>
    <n v="12767"/>
  </r>
  <r>
    <x v="57"/>
    <x v="1"/>
    <n v="1155"/>
    <n v="122"/>
    <n v="387352"/>
    <n v="9.93"/>
    <n v="12170"/>
  </r>
  <r>
    <x v="57"/>
    <x v="2"/>
    <n v="1051"/>
    <n v="246"/>
    <n v="253985"/>
    <n v="9.08"/>
    <n v="7245"/>
  </r>
  <r>
    <x v="58"/>
    <x v="2"/>
    <n v="1111"/>
    <n v="159"/>
    <n v="360770"/>
    <n v="8.7100000000000009"/>
    <n v="11453"/>
  </r>
  <r>
    <x v="58"/>
    <x v="0"/>
    <n v="1457"/>
    <n v="183"/>
    <n v="129640"/>
    <n v="7.98"/>
    <n v="12985"/>
  </r>
  <r>
    <x v="58"/>
    <x v="1"/>
    <n v="670"/>
    <n v="242"/>
    <n v="281913"/>
    <n v="9.6199999999999992"/>
    <n v="16377"/>
  </r>
  <r>
    <x v="59"/>
    <x v="0"/>
    <n v="1197"/>
    <n v="246"/>
    <n v="127273"/>
    <n v="6.69"/>
    <n v="12323"/>
  </r>
  <r>
    <x v="59"/>
    <x v="1"/>
    <n v="754"/>
    <n v="150"/>
    <n v="189622"/>
    <n v="4.25"/>
    <n v="11911"/>
  </r>
  <r>
    <x v="59"/>
    <x v="2"/>
    <n v="1246"/>
    <n v="107"/>
    <n v="350949"/>
    <n v="4.9800000000000004"/>
    <n v="27809"/>
  </r>
  <r>
    <x v="60"/>
    <x v="0"/>
    <n v="780"/>
    <n v="213"/>
    <n v="121431"/>
    <n v="4.97"/>
    <n v="21464"/>
  </r>
  <r>
    <x v="60"/>
    <x v="1"/>
    <n v="1425"/>
    <n v="143"/>
    <n v="116742"/>
    <n v="3.71"/>
    <n v="27126"/>
  </r>
  <r>
    <x v="60"/>
    <x v="2"/>
    <n v="1490"/>
    <n v="103"/>
    <n v="81184"/>
    <n v="7.79"/>
    <n v="10681"/>
  </r>
  <r>
    <x v="61"/>
    <x v="2"/>
    <n v="616"/>
    <n v="93"/>
    <n v="133082"/>
    <n v="8.51"/>
    <n v="18303"/>
  </r>
  <r>
    <x v="61"/>
    <x v="0"/>
    <n v="949"/>
    <n v="282"/>
    <n v="87126"/>
    <n v="4.96"/>
    <n v="5413"/>
  </r>
  <r>
    <x v="61"/>
    <x v="1"/>
    <n v="640"/>
    <n v="141"/>
    <n v="267546"/>
    <n v="8.58"/>
    <n v="25058"/>
  </r>
  <r>
    <x v="62"/>
    <x v="0"/>
    <n v="1080"/>
    <n v="184"/>
    <n v="340557"/>
    <n v="5.41"/>
    <n v="5526"/>
  </r>
  <r>
    <x v="62"/>
    <x v="1"/>
    <n v="938"/>
    <n v="236"/>
    <n v="116472"/>
    <n v="8.7200000000000006"/>
    <n v="17460"/>
  </r>
  <r>
    <x v="62"/>
    <x v="2"/>
    <n v="1007"/>
    <n v="258"/>
    <n v="113412"/>
    <n v="7.71"/>
    <n v="14475"/>
  </r>
  <r>
    <x v="63"/>
    <x v="0"/>
    <n v="541"/>
    <n v="208"/>
    <n v="157547"/>
    <n v="8.35"/>
    <n v="20162"/>
  </r>
  <r>
    <x v="63"/>
    <x v="1"/>
    <n v="745"/>
    <n v="98"/>
    <n v="354816"/>
    <n v="4.03"/>
    <n v="17103"/>
  </r>
  <r>
    <x v="63"/>
    <x v="2"/>
    <n v="936"/>
    <n v="97"/>
    <n v="151799"/>
    <n v="9.3699999999999992"/>
    <n v="15461"/>
  </r>
  <r>
    <x v="64"/>
    <x v="1"/>
    <n v="1413"/>
    <n v="245"/>
    <n v="296450"/>
    <n v="6.52"/>
    <n v="11625"/>
  </r>
  <r>
    <x v="64"/>
    <x v="0"/>
    <n v="1183"/>
    <n v="223"/>
    <n v="143811"/>
    <n v="6.07"/>
    <n v="22103"/>
  </r>
  <r>
    <x v="64"/>
    <x v="2"/>
    <n v="791"/>
    <n v="273"/>
    <n v="144049"/>
    <n v="3.08"/>
    <n v="5281"/>
  </r>
  <r>
    <x v="65"/>
    <x v="1"/>
    <n v="572"/>
    <n v="270"/>
    <n v="82265"/>
    <n v="3.65"/>
    <n v="13140"/>
  </r>
  <r>
    <x v="65"/>
    <x v="0"/>
    <n v="1052"/>
    <n v="180"/>
    <n v="272534"/>
    <n v="5.34"/>
    <n v="13424"/>
  </r>
  <r>
    <x v="65"/>
    <x v="2"/>
    <n v="503"/>
    <n v="253"/>
    <n v="313562"/>
    <n v="4.18"/>
    <n v="19538"/>
  </r>
  <r>
    <x v="66"/>
    <x v="0"/>
    <n v="1017"/>
    <n v="197"/>
    <n v="89918"/>
    <n v="3.91"/>
    <n v="7881"/>
  </r>
  <r>
    <x v="66"/>
    <x v="1"/>
    <n v="860"/>
    <n v="244"/>
    <n v="348686"/>
    <n v="5.12"/>
    <n v="114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DE6489-1834-44C0-8AA2-09778E412A37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10:E13" firstHeaderRow="0" firstDataRow="1" firstDataCol="1"/>
  <pivotFields count="33">
    <pivotField showAll="0"/>
    <pivotField axis="axisRow" showAll="0">
      <items count="4">
        <item x="2"/>
        <item x="1"/>
        <item x="0"/>
        <item t="default"/>
      </items>
    </pivotField>
    <pivotField numFmtId="14" showAll="0">
      <items count="2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numFmtId="14" showAll="0">
      <items count="5">
        <item x="0"/>
        <item x="3"/>
        <item x="1"/>
        <item x="2"/>
        <item t="default"/>
      </items>
    </pivotField>
    <pivotField numFmtId="14" showAll="0">
      <items count="5">
        <item x="0"/>
        <item x="3"/>
        <item x="1"/>
        <item x="2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3">
    <i>
      <x/>
    </i>
    <i>
      <x v="1"/>
    </i>
    <i>
      <x v="2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Likes" fld="5" subtotal="average" baseField="1" baseItem="0"/>
    <dataField name="Average of Comments" fld="7" subtotal="average" baseField="1" baseItem="0"/>
    <dataField name="Average of Shares" fld="6" subtotal="average" baseField="1" baseItem="0"/>
    <dataField name="Average of Impressions" fld="8" subtotal="average" baseField="1" baseItem="0"/>
  </dataFields>
  <formats count="1">
    <format dxfId="16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1748B-2C24-48FD-A82D-F70767D050BA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5:E8" firstHeaderRow="0" firstDataRow="1" firstDataCol="1"/>
  <pivotFields count="33">
    <pivotField showAll="0"/>
    <pivotField axis="axisRow" showAll="0">
      <items count="4">
        <item x="2"/>
        <item x="1"/>
        <item x="0"/>
        <item t="default"/>
      </items>
    </pivotField>
    <pivotField numFmtId="14" showAll="0">
      <items count="2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numFmtId="14" showAll="0">
      <items count="5">
        <item x="0"/>
        <item x="3"/>
        <item x="1"/>
        <item x="2"/>
        <item t="default"/>
      </items>
    </pivotField>
    <pivotField numFmtId="14" showAll="0">
      <items count="5">
        <item x="0"/>
        <item x="3"/>
        <item x="1"/>
        <item x="2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3">
    <i>
      <x/>
    </i>
    <i>
      <x v="1"/>
    </i>
    <i>
      <x v="2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Likes" fld="5" baseField="0" baseItem="0"/>
    <dataField name="Sum of Comments" fld="7" baseField="0" baseItem="0"/>
    <dataField name="Sum of Shares" fld="6" baseField="0" baseItem="0"/>
    <dataField name="Sum of Impressions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E63BE0-76CB-49B8-90BB-58D8B8C36967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13" firstHeaderRow="0" firstDataRow="1" firstDataCol="1"/>
  <pivotFields count="33">
    <pivotField showAll="0"/>
    <pivotField axis="axisRow" showAll="0">
      <items count="4">
        <item x="2"/>
        <item x="1"/>
        <item x="0"/>
        <item t="default"/>
      </items>
    </pivotField>
    <pivotField numFmtId="14" showAll="0">
      <items count="2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numFmtId="14" showAll="0">
      <items count="5">
        <item x="0"/>
        <item x="3"/>
        <item x="1"/>
        <item x="2"/>
        <item t="default"/>
      </items>
    </pivotField>
    <pivotField numFmtId="14" showAll="0">
      <items count="5">
        <item x="0"/>
        <item x="3"/>
        <item x="1"/>
        <item x="2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3"/>
    <field x="1"/>
  </rowFields>
  <rowItems count="10">
    <i>
      <x/>
    </i>
    <i r="1">
      <x v="2"/>
    </i>
    <i>
      <x v="1"/>
    </i>
    <i r="1">
      <x/>
    </i>
    <i r="1">
      <x v="1"/>
    </i>
    <i>
      <x v="2"/>
    </i>
    <i r="1">
      <x/>
    </i>
    <i r="1">
      <x v="1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Likes" fld="5" baseField="0" baseItem="0"/>
    <dataField name="Sum of Shares" fld="6" baseField="0" baseItem="0"/>
    <dataField name="Sum of Comment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922601-996A-4A4E-8671-FA5321DA154C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31" firstHeaderRow="1" firstDataRow="1" firstDataCol="1"/>
  <pivotFields count="33">
    <pivotField showAll="0">
      <items count="301">
        <item x="265"/>
        <item x="223"/>
        <item x="184"/>
        <item x="185"/>
        <item x="55"/>
        <item x="87"/>
        <item x="195"/>
        <item x="70"/>
        <item x="290"/>
        <item x="186"/>
        <item x="35"/>
        <item x="75"/>
        <item x="293"/>
        <item x="149"/>
        <item x="66"/>
        <item x="199"/>
        <item x="86"/>
        <item x="19"/>
        <item x="89"/>
        <item x="98"/>
        <item x="166"/>
        <item x="288"/>
        <item x="85"/>
        <item x="157"/>
        <item x="152"/>
        <item x="272"/>
        <item x="181"/>
        <item x="34"/>
        <item x="243"/>
        <item x="260"/>
        <item x="201"/>
        <item x="67"/>
        <item x="150"/>
        <item x="207"/>
        <item x="268"/>
        <item x="65"/>
        <item x="278"/>
        <item x="136"/>
        <item x="179"/>
        <item x="286"/>
        <item x="60"/>
        <item x="220"/>
        <item x="231"/>
        <item x="132"/>
        <item x="106"/>
        <item x="24"/>
        <item x="37"/>
        <item x="227"/>
        <item x="128"/>
        <item x="259"/>
        <item x="74"/>
        <item x="131"/>
        <item x="120"/>
        <item x="238"/>
        <item x="68"/>
        <item x="234"/>
        <item x="3"/>
        <item x="108"/>
        <item x="118"/>
        <item x="58"/>
        <item x="0"/>
        <item x="162"/>
        <item x="99"/>
        <item x="219"/>
        <item x="78"/>
        <item x="255"/>
        <item x="49"/>
        <item x="47"/>
        <item x="194"/>
        <item x="205"/>
        <item x="5"/>
        <item x="153"/>
        <item x="267"/>
        <item x="77"/>
        <item x="13"/>
        <item x="105"/>
        <item x="280"/>
        <item x="217"/>
        <item x="8"/>
        <item x="292"/>
        <item x="239"/>
        <item x="124"/>
        <item x="202"/>
        <item x="114"/>
        <item x="122"/>
        <item x="270"/>
        <item x="61"/>
        <item x="233"/>
        <item x="187"/>
        <item x="112"/>
        <item x="261"/>
        <item x="45"/>
        <item x="33"/>
        <item x="170"/>
        <item x="44"/>
        <item x="39"/>
        <item x="14"/>
        <item x="38"/>
        <item x="156"/>
        <item x="111"/>
        <item x="154"/>
        <item x="161"/>
        <item x="25"/>
        <item x="64"/>
        <item x="141"/>
        <item x="216"/>
        <item x="210"/>
        <item x="133"/>
        <item x="177"/>
        <item x="95"/>
        <item x="110"/>
        <item x="232"/>
        <item x="135"/>
        <item x="107"/>
        <item x="254"/>
        <item x="266"/>
        <item x="26"/>
        <item x="76"/>
        <item x="281"/>
        <item x="213"/>
        <item x="263"/>
        <item x="31"/>
        <item x="73"/>
        <item x="71"/>
        <item x="164"/>
        <item x="1"/>
        <item x="16"/>
        <item x="29"/>
        <item x="299"/>
        <item x="4"/>
        <item x="245"/>
        <item x="143"/>
        <item x="15"/>
        <item x="274"/>
        <item x="146"/>
        <item x="174"/>
        <item x="53"/>
        <item x="180"/>
        <item x="242"/>
        <item x="126"/>
        <item x="145"/>
        <item x="197"/>
        <item x="91"/>
        <item x="230"/>
        <item x="279"/>
        <item x="276"/>
        <item x="12"/>
        <item x="229"/>
        <item x="253"/>
        <item x="80"/>
        <item x="119"/>
        <item x="142"/>
        <item x="287"/>
        <item x="176"/>
        <item x="62"/>
        <item x="130"/>
        <item x="236"/>
        <item x="247"/>
        <item x="56"/>
        <item x="21"/>
        <item x="277"/>
        <item x="171"/>
        <item x="116"/>
        <item x="297"/>
        <item x="69"/>
        <item x="54"/>
        <item x="221"/>
        <item x="51"/>
        <item x="203"/>
        <item x="178"/>
        <item x="129"/>
        <item x="59"/>
        <item x="82"/>
        <item x="250"/>
        <item x="249"/>
        <item x="97"/>
        <item x="168"/>
        <item x="193"/>
        <item x="175"/>
        <item x="262"/>
        <item x="43"/>
        <item x="42"/>
        <item x="113"/>
        <item x="104"/>
        <item x="258"/>
        <item x="90"/>
        <item x="275"/>
        <item x="284"/>
        <item x="235"/>
        <item x="212"/>
        <item x="30"/>
        <item x="139"/>
        <item x="83"/>
        <item x="72"/>
        <item x="9"/>
        <item x="208"/>
        <item x="188"/>
        <item x="224"/>
        <item x="103"/>
        <item x="41"/>
        <item x="137"/>
        <item x="6"/>
        <item x="147"/>
        <item x="200"/>
        <item x="256"/>
        <item x="123"/>
        <item x="52"/>
        <item x="251"/>
        <item x="109"/>
        <item x="264"/>
        <item x="57"/>
        <item x="294"/>
        <item x="296"/>
        <item x="151"/>
        <item x="211"/>
        <item x="209"/>
        <item x="283"/>
        <item x="155"/>
        <item x="22"/>
        <item x="190"/>
        <item x="269"/>
        <item x="295"/>
        <item x="92"/>
        <item x="189"/>
        <item x="17"/>
        <item x="11"/>
        <item x="248"/>
        <item x="81"/>
        <item x="32"/>
        <item x="271"/>
        <item x="48"/>
        <item x="240"/>
        <item x="158"/>
        <item x="18"/>
        <item x="134"/>
        <item x="196"/>
        <item x="10"/>
        <item x="289"/>
        <item x="192"/>
        <item x="127"/>
        <item x="138"/>
        <item x="252"/>
        <item x="191"/>
        <item x="285"/>
        <item x="206"/>
        <item x="101"/>
        <item x="140"/>
        <item x="88"/>
        <item x="36"/>
        <item x="273"/>
        <item x="100"/>
        <item x="160"/>
        <item x="115"/>
        <item x="225"/>
        <item x="50"/>
        <item x="102"/>
        <item x="84"/>
        <item x="246"/>
        <item x="215"/>
        <item x="204"/>
        <item x="173"/>
        <item x="182"/>
        <item x="46"/>
        <item x="282"/>
        <item x="291"/>
        <item x="79"/>
        <item x="167"/>
        <item x="40"/>
        <item x="93"/>
        <item x="169"/>
        <item x="228"/>
        <item x="165"/>
        <item x="23"/>
        <item x="148"/>
        <item x="27"/>
        <item x="237"/>
        <item x="226"/>
        <item x="183"/>
        <item x="214"/>
        <item x="144"/>
        <item x="2"/>
        <item x="28"/>
        <item x="125"/>
        <item x="159"/>
        <item x="222"/>
        <item x="63"/>
        <item x="94"/>
        <item x="117"/>
        <item x="218"/>
        <item x="121"/>
        <item x="96"/>
        <item x="163"/>
        <item x="257"/>
        <item x="198"/>
        <item x="241"/>
        <item x="244"/>
        <item x="172"/>
        <item x="298"/>
        <item x="7"/>
        <item x="20"/>
        <item t="default"/>
      </items>
    </pivotField>
    <pivotField showAll="0"/>
    <pivotField numFmtId="14" showAll="0">
      <items count="2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t="default"/>
      </items>
    </pivotField>
    <pivotField showAll="0"/>
    <pivotField axis="axisRow" showAll="0">
      <items count="11">
        <item x="5"/>
        <item x="0"/>
        <item x="6"/>
        <item x="9"/>
        <item x="8"/>
        <item x="4"/>
        <item x="2"/>
        <item x="1"/>
        <item x="3"/>
        <item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3"/>
        <item x="2"/>
        <item t="default"/>
      </items>
    </pivotField>
    <pivotField axis="axisRow" showAll="0">
      <items count="6">
        <item x="4"/>
        <item x="1"/>
        <item x="0"/>
        <item x="3"/>
        <item x="2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numFmtId="14" showAll="0">
      <items count="5">
        <item x="0"/>
        <item x="3"/>
        <item x="1"/>
        <item x="2"/>
        <item t="default"/>
      </items>
    </pivotField>
    <pivotField numFmtId="14" showAll="0">
      <items count="5">
        <item x="0"/>
        <item x="3"/>
        <item x="1"/>
        <item x="2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3">
    <field x="4"/>
    <field x="11"/>
    <field x="12"/>
  </rowFields>
  <rowItems count="128">
    <i>
      <x/>
    </i>
    <i r="1">
      <x/>
    </i>
    <i r="2">
      <x/>
    </i>
    <i r="2">
      <x v="2"/>
    </i>
    <i r="2">
      <x v="3"/>
    </i>
    <i r="2">
      <x v="4"/>
    </i>
    <i r="1">
      <x v="1"/>
    </i>
    <i r="2">
      <x v="1"/>
    </i>
    <i r="1">
      <x v="2"/>
    </i>
    <i r="2">
      <x v="4"/>
    </i>
    <i r="1">
      <x v="3"/>
    </i>
    <i r="2">
      <x v="1"/>
    </i>
    <i r="2">
      <x v="4"/>
    </i>
    <i>
      <x v="1"/>
    </i>
    <i r="1">
      <x/>
    </i>
    <i r="2">
      <x/>
    </i>
    <i r="2">
      <x v="2"/>
    </i>
    <i r="2">
      <x v="3"/>
    </i>
    <i r="2">
      <x v="4"/>
    </i>
    <i r="1">
      <x v="1"/>
    </i>
    <i r="2">
      <x v="1"/>
    </i>
    <i r="1">
      <x v="2"/>
    </i>
    <i r="2">
      <x v="4"/>
    </i>
    <i r="1">
      <x v="3"/>
    </i>
    <i r="2">
      <x v="1"/>
    </i>
    <i r="2">
      <x v="4"/>
    </i>
    <i>
      <x v="2"/>
    </i>
    <i r="1">
      <x/>
    </i>
    <i r="2">
      <x/>
    </i>
    <i r="2">
      <x v="2"/>
    </i>
    <i r="2">
      <x v="3"/>
    </i>
    <i r="2">
      <x v="4"/>
    </i>
    <i r="1">
      <x v="2"/>
    </i>
    <i r="2">
      <x v="4"/>
    </i>
    <i r="1">
      <x v="3"/>
    </i>
    <i r="2">
      <x v="1"/>
    </i>
    <i r="2">
      <x v="4"/>
    </i>
    <i>
      <x v="3"/>
    </i>
    <i r="1">
      <x/>
    </i>
    <i r="2">
      <x/>
    </i>
    <i r="2">
      <x v="2"/>
    </i>
    <i r="2">
      <x v="4"/>
    </i>
    <i r="1">
      <x v="1"/>
    </i>
    <i r="2">
      <x v="1"/>
    </i>
    <i r="1">
      <x v="2"/>
    </i>
    <i r="2">
      <x v="4"/>
    </i>
    <i r="1">
      <x v="3"/>
    </i>
    <i r="2">
      <x v="1"/>
    </i>
    <i r="2">
      <x v="4"/>
    </i>
    <i>
      <x v="4"/>
    </i>
    <i r="1">
      <x/>
    </i>
    <i r="2">
      <x/>
    </i>
    <i r="2">
      <x v="2"/>
    </i>
    <i r="2">
      <x v="3"/>
    </i>
    <i r="2">
      <x v="4"/>
    </i>
    <i r="1">
      <x v="1"/>
    </i>
    <i r="2">
      <x v="1"/>
    </i>
    <i r="1">
      <x v="2"/>
    </i>
    <i r="2">
      <x v="4"/>
    </i>
    <i r="1">
      <x v="3"/>
    </i>
    <i r="2">
      <x v="1"/>
    </i>
    <i r="2">
      <x v="4"/>
    </i>
    <i>
      <x v="5"/>
    </i>
    <i r="1">
      <x/>
    </i>
    <i r="2">
      <x/>
    </i>
    <i r="2">
      <x v="2"/>
    </i>
    <i r="2">
      <x v="3"/>
    </i>
    <i r="2">
      <x v="4"/>
    </i>
    <i r="1">
      <x v="1"/>
    </i>
    <i r="2">
      <x v="1"/>
    </i>
    <i r="1">
      <x v="2"/>
    </i>
    <i r="2">
      <x v="4"/>
    </i>
    <i r="1">
      <x v="3"/>
    </i>
    <i r="2">
      <x v="1"/>
    </i>
    <i r="2">
      <x v="4"/>
    </i>
    <i>
      <x v="6"/>
    </i>
    <i r="1">
      <x/>
    </i>
    <i r="2">
      <x/>
    </i>
    <i r="2">
      <x v="2"/>
    </i>
    <i r="2">
      <x v="3"/>
    </i>
    <i r="2">
      <x v="4"/>
    </i>
    <i r="1">
      <x v="1"/>
    </i>
    <i r="2">
      <x v="1"/>
    </i>
    <i r="1">
      <x v="2"/>
    </i>
    <i r="2">
      <x v="4"/>
    </i>
    <i r="1">
      <x v="3"/>
    </i>
    <i r="2">
      <x v="1"/>
    </i>
    <i r="2">
      <x v="4"/>
    </i>
    <i>
      <x v="7"/>
    </i>
    <i r="1">
      <x/>
    </i>
    <i r="2">
      <x/>
    </i>
    <i r="2">
      <x v="2"/>
    </i>
    <i r="2">
      <x v="3"/>
    </i>
    <i r="2">
      <x v="4"/>
    </i>
    <i r="1">
      <x v="1"/>
    </i>
    <i r="2">
      <x v="1"/>
    </i>
    <i r="1">
      <x v="2"/>
    </i>
    <i r="2">
      <x v="4"/>
    </i>
    <i r="1">
      <x v="3"/>
    </i>
    <i r="2">
      <x v="1"/>
    </i>
    <i r="2">
      <x v="4"/>
    </i>
    <i>
      <x v="8"/>
    </i>
    <i r="1">
      <x/>
    </i>
    <i r="2">
      <x/>
    </i>
    <i r="2">
      <x v="2"/>
    </i>
    <i r="2">
      <x v="3"/>
    </i>
    <i r="2">
      <x v="4"/>
    </i>
    <i r="1">
      <x v="1"/>
    </i>
    <i r="2">
      <x v="1"/>
    </i>
    <i r="1">
      <x v="2"/>
    </i>
    <i r="2">
      <x v="4"/>
    </i>
    <i r="1">
      <x v="3"/>
    </i>
    <i r="2">
      <x v="1"/>
    </i>
    <i r="2">
      <x v="4"/>
    </i>
    <i>
      <x v="9"/>
    </i>
    <i r="1">
      <x/>
    </i>
    <i r="2">
      <x/>
    </i>
    <i r="2">
      <x v="2"/>
    </i>
    <i r="2">
      <x v="3"/>
    </i>
    <i r="2">
      <x v="4"/>
    </i>
    <i r="1">
      <x v="1"/>
    </i>
    <i r="2">
      <x v="1"/>
    </i>
    <i r="1">
      <x v="2"/>
    </i>
    <i r="2">
      <x v="4"/>
    </i>
    <i r="1">
      <x v="3"/>
    </i>
    <i r="2">
      <x v="1"/>
    </i>
    <i r="2">
      <x v="4"/>
    </i>
    <i t="grand">
      <x/>
    </i>
  </rowItems>
  <colItems count="1">
    <i/>
  </colItems>
  <dataFields count="1">
    <dataField name="Average of Clicks" fld="10" subtotal="average" baseField="0" baseItem="0" numFmtId="1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307B9-65FF-43CC-88FC-854FEFEE51F4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C8" firstHeaderRow="0" firstDataRow="1" firstDataCol="1"/>
  <pivotFields count="10">
    <pivotField numFmtId="14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Engagement_Rate" fld="5" baseField="0" baseItem="0"/>
    <dataField name="Average of Engagement_Rate" fld="5" subtotal="average" baseField="1" baseItem="0"/>
  </dataFields>
  <formats count="1">
    <format dxfId="14">
      <pivotArea dataOnly="0" fieldPosition="0">
        <references count="1">
          <reference field="1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EE4E3C-232F-40C2-AF90-8979AAE27A0C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71" firstHeaderRow="0" firstDataRow="1" firstDataCol="1"/>
  <pivotFields count="10">
    <pivotField axis="axisRow" numFmtId="14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dataField="1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0"/>
    <field x="1"/>
  </rowFields>
  <rowItems count="268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>
      <x v="9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>
      <x v="11"/>
    </i>
    <i r="1">
      <x/>
    </i>
    <i r="1">
      <x v="1"/>
    </i>
    <i r="1">
      <x v="2"/>
    </i>
    <i>
      <x v="12"/>
    </i>
    <i r="1">
      <x/>
    </i>
    <i r="1">
      <x v="1"/>
    </i>
    <i r="1">
      <x v="2"/>
    </i>
    <i>
      <x v="13"/>
    </i>
    <i r="1">
      <x/>
    </i>
    <i r="1">
      <x v="1"/>
    </i>
    <i r="1">
      <x v="2"/>
    </i>
    <i>
      <x v="14"/>
    </i>
    <i r="1">
      <x/>
    </i>
    <i r="1">
      <x v="1"/>
    </i>
    <i r="1">
      <x v="2"/>
    </i>
    <i>
      <x v="15"/>
    </i>
    <i r="1">
      <x/>
    </i>
    <i r="1">
      <x v="1"/>
    </i>
    <i r="1">
      <x v="2"/>
    </i>
    <i>
      <x v="16"/>
    </i>
    <i r="1">
      <x/>
    </i>
    <i r="1">
      <x v="1"/>
    </i>
    <i r="1">
      <x v="2"/>
    </i>
    <i>
      <x v="17"/>
    </i>
    <i r="1">
      <x/>
    </i>
    <i r="1">
      <x v="1"/>
    </i>
    <i r="1">
      <x v="2"/>
    </i>
    <i>
      <x v="18"/>
    </i>
    <i r="1">
      <x/>
    </i>
    <i r="1">
      <x v="1"/>
    </i>
    <i r="1">
      <x v="2"/>
    </i>
    <i>
      <x v="19"/>
    </i>
    <i r="1">
      <x/>
    </i>
    <i r="1">
      <x v="1"/>
    </i>
    <i r="1">
      <x v="2"/>
    </i>
    <i>
      <x v="20"/>
    </i>
    <i r="1">
      <x/>
    </i>
    <i r="1">
      <x v="1"/>
    </i>
    <i r="1">
      <x v="2"/>
    </i>
    <i>
      <x v="21"/>
    </i>
    <i r="1">
      <x/>
    </i>
    <i r="1">
      <x v="1"/>
    </i>
    <i r="1">
      <x v="2"/>
    </i>
    <i>
      <x v="22"/>
    </i>
    <i r="1">
      <x/>
    </i>
    <i r="1">
      <x v="1"/>
    </i>
    <i r="1">
      <x v="2"/>
    </i>
    <i>
      <x v="23"/>
    </i>
    <i r="1">
      <x/>
    </i>
    <i r="1">
      <x v="1"/>
    </i>
    <i r="1">
      <x v="2"/>
    </i>
    <i>
      <x v="24"/>
    </i>
    <i r="1">
      <x/>
    </i>
    <i r="1">
      <x v="1"/>
    </i>
    <i r="1">
      <x v="2"/>
    </i>
    <i>
      <x v="25"/>
    </i>
    <i r="1">
      <x/>
    </i>
    <i r="1">
      <x v="1"/>
    </i>
    <i r="1">
      <x v="2"/>
    </i>
    <i>
      <x v="26"/>
    </i>
    <i r="1">
      <x/>
    </i>
    <i r="1">
      <x v="1"/>
    </i>
    <i r="1">
      <x v="2"/>
    </i>
    <i>
      <x v="27"/>
    </i>
    <i r="1">
      <x/>
    </i>
    <i r="1">
      <x v="1"/>
    </i>
    <i r="1">
      <x v="2"/>
    </i>
    <i>
      <x v="28"/>
    </i>
    <i r="1">
      <x/>
    </i>
    <i r="1">
      <x v="1"/>
    </i>
    <i r="1">
      <x v="2"/>
    </i>
    <i>
      <x v="29"/>
    </i>
    <i r="1">
      <x/>
    </i>
    <i r="1">
      <x v="1"/>
    </i>
    <i r="1">
      <x v="2"/>
    </i>
    <i>
      <x v="30"/>
    </i>
    <i r="1">
      <x/>
    </i>
    <i r="1">
      <x v="1"/>
    </i>
    <i r="1">
      <x v="2"/>
    </i>
    <i>
      <x v="31"/>
    </i>
    <i r="1">
      <x/>
    </i>
    <i r="1">
      <x v="1"/>
    </i>
    <i r="1">
      <x v="2"/>
    </i>
    <i>
      <x v="32"/>
    </i>
    <i r="1">
      <x/>
    </i>
    <i r="1">
      <x v="1"/>
    </i>
    <i r="1">
      <x v="2"/>
    </i>
    <i>
      <x v="33"/>
    </i>
    <i r="1">
      <x/>
    </i>
    <i r="1">
      <x v="1"/>
    </i>
    <i r="1">
      <x v="2"/>
    </i>
    <i>
      <x v="34"/>
    </i>
    <i r="1">
      <x/>
    </i>
    <i r="1">
      <x v="1"/>
    </i>
    <i r="1">
      <x v="2"/>
    </i>
    <i>
      <x v="35"/>
    </i>
    <i r="1">
      <x/>
    </i>
    <i r="1">
      <x v="1"/>
    </i>
    <i r="1">
      <x v="2"/>
    </i>
    <i>
      <x v="36"/>
    </i>
    <i r="1">
      <x/>
    </i>
    <i r="1">
      <x v="1"/>
    </i>
    <i r="1">
      <x v="2"/>
    </i>
    <i>
      <x v="37"/>
    </i>
    <i r="1">
      <x/>
    </i>
    <i r="1">
      <x v="1"/>
    </i>
    <i r="1">
      <x v="2"/>
    </i>
    <i>
      <x v="38"/>
    </i>
    <i r="1">
      <x/>
    </i>
    <i r="1">
      <x v="1"/>
    </i>
    <i r="1">
      <x v="2"/>
    </i>
    <i>
      <x v="39"/>
    </i>
    <i r="1">
      <x/>
    </i>
    <i r="1">
      <x v="1"/>
    </i>
    <i r="1">
      <x v="2"/>
    </i>
    <i>
      <x v="40"/>
    </i>
    <i r="1">
      <x/>
    </i>
    <i r="1">
      <x v="1"/>
    </i>
    <i r="1">
      <x v="2"/>
    </i>
    <i>
      <x v="41"/>
    </i>
    <i r="1">
      <x/>
    </i>
    <i r="1">
      <x v="1"/>
    </i>
    <i r="1">
      <x v="2"/>
    </i>
    <i>
      <x v="42"/>
    </i>
    <i r="1">
      <x/>
    </i>
    <i r="1">
      <x v="1"/>
    </i>
    <i r="1">
      <x v="2"/>
    </i>
    <i>
      <x v="43"/>
    </i>
    <i r="1">
      <x/>
    </i>
    <i r="1">
      <x v="1"/>
    </i>
    <i r="1">
      <x v="2"/>
    </i>
    <i>
      <x v="44"/>
    </i>
    <i r="1">
      <x/>
    </i>
    <i r="1">
      <x v="1"/>
    </i>
    <i r="1">
      <x v="2"/>
    </i>
    <i>
      <x v="45"/>
    </i>
    <i r="1">
      <x/>
    </i>
    <i r="1">
      <x v="1"/>
    </i>
    <i r="1">
      <x v="2"/>
    </i>
    <i>
      <x v="46"/>
    </i>
    <i r="1">
      <x/>
    </i>
    <i r="1">
      <x v="1"/>
    </i>
    <i r="1">
      <x v="2"/>
    </i>
    <i>
      <x v="47"/>
    </i>
    <i r="1">
      <x/>
    </i>
    <i r="1">
      <x v="1"/>
    </i>
    <i r="1">
      <x v="2"/>
    </i>
    <i>
      <x v="48"/>
    </i>
    <i r="1">
      <x/>
    </i>
    <i r="1">
      <x v="1"/>
    </i>
    <i r="1">
      <x v="2"/>
    </i>
    <i>
      <x v="49"/>
    </i>
    <i r="1">
      <x/>
    </i>
    <i r="1">
      <x v="1"/>
    </i>
    <i r="1">
      <x v="2"/>
    </i>
    <i>
      <x v="50"/>
    </i>
    <i r="1">
      <x/>
    </i>
    <i r="1">
      <x v="1"/>
    </i>
    <i r="1">
      <x v="2"/>
    </i>
    <i>
      <x v="51"/>
    </i>
    <i r="1">
      <x/>
    </i>
    <i r="1">
      <x v="1"/>
    </i>
    <i r="1">
      <x v="2"/>
    </i>
    <i>
      <x v="52"/>
    </i>
    <i r="1">
      <x/>
    </i>
    <i r="1">
      <x v="1"/>
    </i>
    <i r="1">
      <x v="2"/>
    </i>
    <i>
      <x v="53"/>
    </i>
    <i r="1">
      <x/>
    </i>
    <i r="1">
      <x v="1"/>
    </i>
    <i r="1">
      <x v="2"/>
    </i>
    <i>
      <x v="54"/>
    </i>
    <i r="1">
      <x/>
    </i>
    <i r="1">
      <x v="1"/>
    </i>
    <i r="1">
      <x v="2"/>
    </i>
    <i>
      <x v="55"/>
    </i>
    <i r="1">
      <x/>
    </i>
    <i r="1">
      <x v="1"/>
    </i>
    <i r="1">
      <x v="2"/>
    </i>
    <i>
      <x v="56"/>
    </i>
    <i r="1">
      <x/>
    </i>
    <i r="1">
      <x v="1"/>
    </i>
    <i r="1">
      <x v="2"/>
    </i>
    <i>
      <x v="57"/>
    </i>
    <i r="1">
      <x/>
    </i>
    <i r="1">
      <x v="1"/>
    </i>
    <i r="1">
      <x v="2"/>
    </i>
    <i>
      <x v="58"/>
    </i>
    <i r="1">
      <x/>
    </i>
    <i r="1">
      <x v="1"/>
    </i>
    <i r="1">
      <x v="2"/>
    </i>
    <i>
      <x v="59"/>
    </i>
    <i r="1">
      <x/>
    </i>
    <i r="1">
      <x v="1"/>
    </i>
    <i r="1">
      <x v="2"/>
    </i>
    <i>
      <x v="60"/>
    </i>
    <i r="1">
      <x/>
    </i>
    <i r="1">
      <x v="1"/>
    </i>
    <i r="1">
      <x v="2"/>
    </i>
    <i>
      <x v="61"/>
    </i>
    <i r="1">
      <x/>
    </i>
    <i r="1">
      <x v="1"/>
    </i>
    <i r="1">
      <x v="2"/>
    </i>
    <i>
      <x v="62"/>
    </i>
    <i r="1">
      <x/>
    </i>
    <i r="1">
      <x v="1"/>
    </i>
    <i r="1">
      <x v="2"/>
    </i>
    <i>
      <x v="63"/>
    </i>
    <i r="1">
      <x/>
    </i>
    <i r="1">
      <x v="1"/>
    </i>
    <i r="1">
      <x v="2"/>
    </i>
    <i>
      <x v="64"/>
    </i>
    <i r="1">
      <x/>
    </i>
    <i r="1">
      <x v="1"/>
    </i>
    <i r="1">
      <x v="2"/>
    </i>
    <i>
      <x v="65"/>
    </i>
    <i r="1">
      <x/>
    </i>
    <i r="1">
      <x v="1"/>
    </i>
    <i r="1">
      <x v="2"/>
    </i>
    <i>
      <x v="66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ew_Followers" fld="2" baseField="0" baseItem="0"/>
    <dataField name="Sum of Unfollow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C1EE01-1E07-43CB-B40A-1C681E25804E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8:C286" firstHeaderRow="0" firstDataRow="1" firstDataCol="1"/>
  <pivotFields count="10">
    <pivotField axis="axisRow" numFmtId="14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dataField="1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0"/>
    <field x="1"/>
  </rowFields>
  <rowItems count="268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>
      <x v="9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>
      <x v="11"/>
    </i>
    <i r="1">
      <x/>
    </i>
    <i r="1">
      <x v="1"/>
    </i>
    <i r="1">
      <x v="2"/>
    </i>
    <i>
      <x v="12"/>
    </i>
    <i r="1">
      <x/>
    </i>
    <i r="1">
      <x v="1"/>
    </i>
    <i r="1">
      <x v="2"/>
    </i>
    <i>
      <x v="13"/>
    </i>
    <i r="1">
      <x/>
    </i>
    <i r="1">
      <x v="1"/>
    </i>
    <i r="1">
      <x v="2"/>
    </i>
    <i>
      <x v="14"/>
    </i>
    <i r="1">
      <x/>
    </i>
    <i r="1">
      <x v="1"/>
    </i>
    <i r="1">
      <x v="2"/>
    </i>
    <i>
      <x v="15"/>
    </i>
    <i r="1">
      <x/>
    </i>
    <i r="1">
      <x v="1"/>
    </i>
    <i r="1">
      <x v="2"/>
    </i>
    <i>
      <x v="16"/>
    </i>
    <i r="1">
      <x/>
    </i>
    <i r="1">
      <x v="1"/>
    </i>
    <i r="1">
      <x v="2"/>
    </i>
    <i>
      <x v="17"/>
    </i>
    <i r="1">
      <x/>
    </i>
    <i r="1">
      <x v="1"/>
    </i>
    <i r="1">
      <x v="2"/>
    </i>
    <i>
      <x v="18"/>
    </i>
    <i r="1">
      <x/>
    </i>
    <i r="1">
      <x v="1"/>
    </i>
    <i r="1">
      <x v="2"/>
    </i>
    <i>
      <x v="19"/>
    </i>
    <i r="1">
      <x/>
    </i>
    <i r="1">
      <x v="1"/>
    </i>
    <i r="1">
      <x v="2"/>
    </i>
    <i>
      <x v="20"/>
    </i>
    <i r="1">
      <x/>
    </i>
    <i r="1">
      <x v="1"/>
    </i>
    <i r="1">
      <x v="2"/>
    </i>
    <i>
      <x v="21"/>
    </i>
    <i r="1">
      <x/>
    </i>
    <i r="1">
      <x v="1"/>
    </i>
    <i r="1">
      <x v="2"/>
    </i>
    <i>
      <x v="22"/>
    </i>
    <i r="1">
      <x/>
    </i>
    <i r="1">
      <x v="1"/>
    </i>
    <i r="1">
      <x v="2"/>
    </i>
    <i>
      <x v="23"/>
    </i>
    <i r="1">
      <x/>
    </i>
    <i r="1">
      <x v="1"/>
    </i>
    <i r="1">
      <x v="2"/>
    </i>
    <i>
      <x v="24"/>
    </i>
    <i r="1">
      <x/>
    </i>
    <i r="1">
      <x v="1"/>
    </i>
    <i r="1">
      <x v="2"/>
    </i>
    <i>
      <x v="25"/>
    </i>
    <i r="1">
      <x/>
    </i>
    <i r="1">
      <x v="1"/>
    </i>
    <i r="1">
      <x v="2"/>
    </i>
    <i>
      <x v="26"/>
    </i>
    <i r="1">
      <x/>
    </i>
    <i r="1">
      <x v="1"/>
    </i>
    <i r="1">
      <x v="2"/>
    </i>
    <i>
      <x v="27"/>
    </i>
    <i r="1">
      <x/>
    </i>
    <i r="1">
      <x v="1"/>
    </i>
    <i r="1">
      <x v="2"/>
    </i>
    <i>
      <x v="28"/>
    </i>
    <i r="1">
      <x/>
    </i>
    <i r="1">
      <x v="1"/>
    </i>
    <i r="1">
      <x v="2"/>
    </i>
    <i>
      <x v="29"/>
    </i>
    <i r="1">
      <x/>
    </i>
    <i r="1">
      <x v="1"/>
    </i>
    <i r="1">
      <x v="2"/>
    </i>
    <i>
      <x v="30"/>
    </i>
    <i r="1">
      <x/>
    </i>
    <i r="1">
      <x v="1"/>
    </i>
    <i r="1">
      <x v="2"/>
    </i>
    <i>
      <x v="31"/>
    </i>
    <i r="1">
      <x/>
    </i>
    <i r="1">
      <x v="1"/>
    </i>
    <i r="1">
      <x v="2"/>
    </i>
    <i>
      <x v="32"/>
    </i>
    <i r="1">
      <x/>
    </i>
    <i r="1">
      <x v="1"/>
    </i>
    <i r="1">
      <x v="2"/>
    </i>
    <i>
      <x v="33"/>
    </i>
    <i r="1">
      <x/>
    </i>
    <i r="1">
      <x v="1"/>
    </i>
    <i r="1">
      <x v="2"/>
    </i>
    <i>
      <x v="34"/>
    </i>
    <i r="1">
      <x/>
    </i>
    <i r="1">
      <x v="1"/>
    </i>
    <i r="1">
      <x v="2"/>
    </i>
    <i>
      <x v="35"/>
    </i>
    <i r="1">
      <x/>
    </i>
    <i r="1">
      <x v="1"/>
    </i>
    <i r="1">
      <x v="2"/>
    </i>
    <i>
      <x v="36"/>
    </i>
    <i r="1">
      <x/>
    </i>
    <i r="1">
      <x v="1"/>
    </i>
    <i r="1">
      <x v="2"/>
    </i>
    <i>
      <x v="37"/>
    </i>
    <i r="1">
      <x/>
    </i>
    <i r="1">
      <x v="1"/>
    </i>
    <i r="1">
      <x v="2"/>
    </i>
    <i>
      <x v="38"/>
    </i>
    <i r="1">
      <x/>
    </i>
    <i r="1">
      <x v="1"/>
    </i>
    <i r="1">
      <x v="2"/>
    </i>
    <i>
      <x v="39"/>
    </i>
    <i r="1">
      <x/>
    </i>
    <i r="1">
      <x v="1"/>
    </i>
    <i r="1">
      <x v="2"/>
    </i>
    <i>
      <x v="40"/>
    </i>
    <i r="1">
      <x/>
    </i>
    <i r="1">
      <x v="1"/>
    </i>
    <i r="1">
      <x v="2"/>
    </i>
    <i>
      <x v="41"/>
    </i>
    <i r="1">
      <x/>
    </i>
    <i r="1">
      <x v="1"/>
    </i>
    <i r="1">
      <x v="2"/>
    </i>
    <i>
      <x v="42"/>
    </i>
    <i r="1">
      <x/>
    </i>
    <i r="1">
      <x v="1"/>
    </i>
    <i r="1">
      <x v="2"/>
    </i>
    <i>
      <x v="43"/>
    </i>
    <i r="1">
      <x/>
    </i>
    <i r="1">
      <x v="1"/>
    </i>
    <i r="1">
      <x v="2"/>
    </i>
    <i>
      <x v="44"/>
    </i>
    <i r="1">
      <x/>
    </i>
    <i r="1">
      <x v="1"/>
    </i>
    <i r="1">
      <x v="2"/>
    </i>
    <i>
      <x v="45"/>
    </i>
    <i r="1">
      <x/>
    </i>
    <i r="1">
      <x v="1"/>
    </i>
    <i r="1">
      <x v="2"/>
    </i>
    <i>
      <x v="46"/>
    </i>
    <i r="1">
      <x/>
    </i>
    <i r="1">
      <x v="1"/>
    </i>
    <i r="1">
      <x v="2"/>
    </i>
    <i>
      <x v="47"/>
    </i>
    <i r="1">
      <x/>
    </i>
    <i r="1">
      <x v="1"/>
    </i>
    <i r="1">
      <x v="2"/>
    </i>
    <i>
      <x v="48"/>
    </i>
    <i r="1">
      <x/>
    </i>
    <i r="1">
      <x v="1"/>
    </i>
    <i r="1">
      <x v="2"/>
    </i>
    <i>
      <x v="49"/>
    </i>
    <i r="1">
      <x/>
    </i>
    <i r="1">
      <x v="1"/>
    </i>
    <i r="1">
      <x v="2"/>
    </i>
    <i>
      <x v="50"/>
    </i>
    <i r="1">
      <x/>
    </i>
    <i r="1">
      <x v="1"/>
    </i>
    <i r="1">
      <x v="2"/>
    </i>
    <i>
      <x v="51"/>
    </i>
    <i r="1">
      <x/>
    </i>
    <i r="1">
      <x v="1"/>
    </i>
    <i r="1">
      <x v="2"/>
    </i>
    <i>
      <x v="52"/>
    </i>
    <i r="1">
      <x/>
    </i>
    <i r="1">
      <x v="1"/>
    </i>
    <i r="1">
      <x v="2"/>
    </i>
    <i>
      <x v="53"/>
    </i>
    <i r="1">
      <x/>
    </i>
    <i r="1">
      <x v="1"/>
    </i>
    <i r="1">
      <x v="2"/>
    </i>
    <i>
      <x v="54"/>
    </i>
    <i r="1">
      <x/>
    </i>
    <i r="1">
      <x v="1"/>
    </i>
    <i r="1">
      <x v="2"/>
    </i>
    <i>
      <x v="55"/>
    </i>
    <i r="1">
      <x/>
    </i>
    <i r="1">
      <x v="1"/>
    </i>
    <i r="1">
      <x v="2"/>
    </i>
    <i>
      <x v="56"/>
    </i>
    <i r="1">
      <x/>
    </i>
    <i r="1">
      <x v="1"/>
    </i>
    <i r="1">
      <x v="2"/>
    </i>
    <i>
      <x v="57"/>
    </i>
    <i r="1">
      <x/>
    </i>
    <i r="1">
      <x v="1"/>
    </i>
    <i r="1">
      <x v="2"/>
    </i>
    <i>
      <x v="58"/>
    </i>
    <i r="1">
      <x/>
    </i>
    <i r="1">
      <x v="1"/>
    </i>
    <i r="1">
      <x v="2"/>
    </i>
    <i>
      <x v="59"/>
    </i>
    <i r="1">
      <x/>
    </i>
    <i r="1">
      <x v="1"/>
    </i>
    <i r="1">
      <x v="2"/>
    </i>
    <i>
      <x v="60"/>
    </i>
    <i r="1">
      <x/>
    </i>
    <i r="1">
      <x v="1"/>
    </i>
    <i r="1">
      <x v="2"/>
    </i>
    <i>
      <x v="61"/>
    </i>
    <i r="1">
      <x/>
    </i>
    <i r="1">
      <x v="1"/>
    </i>
    <i r="1">
      <x v="2"/>
    </i>
    <i>
      <x v="62"/>
    </i>
    <i r="1">
      <x/>
    </i>
    <i r="1">
      <x v="1"/>
    </i>
    <i r="1">
      <x v="2"/>
    </i>
    <i>
      <x v="63"/>
    </i>
    <i r="1">
      <x/>
    </i>
    <i r="1">
      <x v="1"/>
    </i>
    <i r="1">
      <x v="2"/>
    </i>
    <i>
      <x v="64"/>
    </i>
    <i r="1">
      <x/>
    </i>
    <i r="1">
      <x v="1"/>
    </i>
    <i r="1">
      <x v="2"/>
    </i>
    <i>
      <x v="65"/>
    </i>
    <i r="1">
      <x/>
    </i>
    <i r="1">
      <x v="1"/>
    </i>
    <i r="1">
      <x v="2"/>
    </i>
    <i>
      <x v="66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ew_Followers" fld="2" baseField="0" baseItem="0"/>
    <dataField name="Sum of Unfollow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43D2BA-3C94-4C71-9FE2-EF2BF07EFFA6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C12" firstHeaderRow="0" firstDataRow="1" firstDataCol="1"/>
  <pivotFields count="10">
    <pivotField numFmtId="14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Engagement_Rate" fld="5" baseField="0" baseItem="0"/>
    <dataField name="Average of Engagement_Rate" fld="5" subtotal="average" baseField="1" baseItem="0"/>
  </dataFields>
  <formats count="1">
    <format dxfId="13">
      <pivotArea dataOnly="0" fieldPosition="0">
        <references count="1">
          <reference field="1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12F6FA-7415-48A4-9C21-2710E3D0C415}" name="PivotTable10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Frequently used Hashtag">
  <location ref="A5:A17" firstHeaderRow="1" firstDataRow="1" firstDataCol="1"/>
  <pivotFields count="33">
    <pivotField showAll="0"/>
    <pivotField showAll="0"/>
    <pivotField numFmtId="14" showAll="0">
      <items count="2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axis="axisRow" showAll="0">
      <items count="6">
        <item x="4"/>
        <item x="1"/>
        <item x="0"/>
        <item x="3"/>
        <item x="2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numFmtId="14" showAll="0">
      <items count="5">
        <item x="0"/>
        <item x="3"/>
        <item x="1"/>
        <item x="2"/>
        <item t="default"/>
      </items>
    </pivotField>
    <pivotField numFmtId="14" showAll="0">
      <items count="5">
        <item x="0"/>
        <item x="3"/>
        <item x="1"/>
        <item x="2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11"/>
    <field x="12"/>
  </rowFields>
  <rowItems count="12">
    <i>
      <x/>
    </i>
    <i r="1">
      <x/>
    </i>
    <i r="1">
      <x v="2"/>
    </i>
    <i r="1">
      <x v="3"/>
    </i>
    <i r="1">
      <x v="4"/>
    </i>
    <i>
      <x v="1"/>
    </i>
    <i r="1">
      <x v="1"/>
    </i>
    <i>
      <x v="2"/>
    </i>
    <i r="1">
      <x v="4"/>
    </i>
    <i>
      <x v="3"/>
    </i>
    <i r="1">
      <x v="1"/>
    </i>
    <i r="1">
      <x v="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9B131-DA53-451E-A081-C5162B53B08D}" name="PivotTable1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6:A15" firstHeaderRow="1" firstDataRow="1" firstDataCol="1"/>
  <pivotFields count="33">
    <pivotField showAll="0"/>
    <pivotField axis="axisRow" showAll="0">
      <items count="4">
        <item x="2"/>
        <item x="1"/>
        <item x="0"/>
        <item t="default"/>
      </items>
    </pivotField>
    <pivotField numFmtId="14" showAll="0">
      <items count="2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numFmtId="14" showAll="0">
      <items count="5">
        <item x="0"/>
        <item x="3"/>
        <item x="1"/>
        <item x="2"/>
        <item t="default"/>
      </items>
    </pivotField>
    <pivotField numFmtId="14" showAll="0">
      <items count="5">
        <item x="0"/>
        <item x="3"/>
        <item x="1"/>
        <item x="2"/>
        <item t="default"/>
      </items>
    </pivotField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3"/>
    <field x="1"/>
  </rowFields>
  <rowItems count="9">
    <i>
      <x/>
    </i>
    <i r="1">
      <x v="2"/>
    </i>
    <i>
      <x v="1"/>
    </i>
    <i r="1">
      <x/>
    </i>
    <i r="1">
      <x v="1"/>
    </i>
    <i>
      <x v="2"/>
    </i>
    <i r="1">
      <x/>
    </i>
    <i r="1">
      <x v="1"/>
    </i>
    <i r="1">
      <x v="2"/>
    </i>
  </rowItems>
  <colItems count="1">
    <i/>
  </colItem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4E8884-A7F3-40A6-A30B-66D1C4ED259A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Week Start Date">
  <location ref="A5:C72" firstHeaderRow="0" firstDataRow="1" firstDataCol="1"/>
  <pivotFields count="10">
    <pivotField axis="axisRow" numFmtId="14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0"/>
  </rowFields>
  <rowItems count="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dataFields count="2">
    <dataField name="Sum of New_Followers" fld="2" baseField="0" baseItem="0"/>
    <dataField name="Sum of Unfollows" fld="3" baseField="0" baseItem="0"/>
  </dataFields>
  <formats count="2">
    <format dxfId="9">
      <pivotArea collapsedLevelsAreSubtotals="1" fieldPosition="0">
        <references count="1">
          <reference field="0" count="1">
            <x v="22"/>
          </reference>
        </references>
      </pivotArea>
    </format>
    <format dxfId="8">
      <pivotArea dataOnly="0" labelOnly="1" fieldPosition="0">
        <references count="1">
          <reference field="0" count="1">
            <x v="2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86873F7E-6645-4462-9BE7-4F9D4BB00334}" autoFormatId="16" applyNumberFormats="0" applyBorderFormats="0" applyFontFormats="0" applyPatternFormats="0" applyAlignmentFormats="0" applyWidthHeightFormats="0">
  <queryTableRefresh nextId="10">
    <queryTableFields count="9">
      <queryTableField id="1" name="Campaign_Name" tableColumnId="1"/>
      <queryTableField id="2" name="Start_Date" tableColumnId="2"/>
      <queryTableField id="3" name="End_Date" tableColumnId="3"/>
      <queryTableField id="4" name="Objective" tableColumnId="4"/>
      <queryTableField id="5" name="Total_Budget" tableColumnId="5"/>
      <queryTableField id="6" name="Target_Platforms.1" tableColumnId="6"/>
      <queryTableField id="7" name="Target_Platforms.2" tableColumnId="7"/>
      <queryTableField id="8" name="Primary_Hashtags.1" tableColumnId="8"/>
      <queryTableField id="9" name="Primary_Hashtags.2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DCCC3B2-8610-4962-9154-9033B0C32F15}" autoFormatId="16" applyNumberFormats="0" applyBorderFormats="0" applyFontFormats="0" applyPatternFormats="0" applyAlignmentFormats="0" applyWidthHeightFormats="0">
  <queryTableRefresh nextId="13" unboundColumnsRight="2">
    <queryTableFields count="9">
      <queryTableField id="1" name="Week_Start_Date" tableColumnId="1"/>
      <queryTableField id="2" name="Platform" tableColumnId="2"/>
      <queryTableField id="3" name="New_Followers" tableColumnId="3"/>
      <queryTableField id="4" name="Unfollows" tableColumnId="4"/>
      <queryTableField id="5" name="Total_Followers" tableColumnId="5"/>
      <queryTableField id="6" name="Engagement_Rate" tableColumnId="6"/>
      <queryTableField id="7" name="Ad_Spend" tableColumnId="7"/>
      <queryTableField id="8" dataBound="0" tableColumnId="8"/>
      <queryTableField id="12" dataBound="0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6845F07-33EA-4A55-9C55-B496C4FF7C6E}" autoFormatId="16" applyNumberFormats="0" applyBorderFormats="0" applyFontFormats="0" applyPatternFormats="0" applyAlignmentFormats="0" applyWidthHeightFormats="0">
  <queryTableRefresh nextId="31" unboundColumnsRight="4">
    <queryTableFields count="21">
      <queryTableField id="1" name="Post ID" tableColumnId="1"/>
      <queryTableField id="2" name="Platform" tableColumnId="2"/>
      <queryTableField id="3" name="Date" tableColumnId="3"/>
      <queryTableField id="4" name="Content Type" tableColumnId="4"/>
      <queryTableField id="5" dataBound="0" tableColumnId="5"/>
      <queryTableField id="6" name="Likes" tableColumnId="6"/>
      <queryTableField id="7" name="Shares" tableColumnId="7"/>
      <queryTableField id="8" name="Comments" tableColumnId="8"/>
      <queryTableField id="9" name="Impressions" tableColumnId="9"/>
      <queryTableField id="10" name="Reach" tableColumnId="10"/>
      <queryTableField id="11" name="Clicks" tableColumnId="11"/>
      <queryTableField id="12" name="Hashtags Used.1" tableColumnId="12"/>
      <queryTableField id="13" name="Hashtags Used.2" tableColumnId="13"/>
      <queryTableField id="14" name="Campaign_Name" tableColumnId="14"/>
      <queryTableField id="16" name="New_Followers" tableColumnId="16"/>
      <queryTableField id="17" name="Unfollows" tableColumnId="17"/>
      <queryTableField id="20" name="Ad_Spend" tableColumnId="20"/>
      <queryTableField id="27" dataBound="0" tableColumnId="25"/>
      <queryTableField id="28" dataBound="0" tableColumnId="26"/>
      <queryTableField id="29" dataBound="0" tableColumnId="15"/>
      <queryTableField id="30" dataBound="0" tableColumnId="18"/>
    </queryTableFields>
    <queryTableDeletedFields count="10">
      <deletedField name="Primary_Hashtags.1"/>
      <deletedField name="Primary_Hashtags.2"/>
      <deletedField name="Engagement_Rate"/>
      <deletedField name="Post Text"/>
      <deletedField name="Start_Date"/>
      <deletedField name="End_Date"/>
      <deletedField name="Objective"/>
      <deletedField name="Total_Budget"/>
      <deletedField name="Week_Start_Date"/>
      <deletedField name="Total_Follower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DCCDC6-2270-4FEE-8E26-CC0917866294}" name="Campaign_Metadata" displayName="Campaign_Metadata" ref="A1:I5" tableType="queryTable" totalsRowShown="0">
  <autoFilter ref="A1:I5" xr:uid="{C3DCCDC6-2270-4FEE-8E26-CC0917866294}"/>
  <tableColumns count="9">
    <tableColumn id="1" xr3:uid="{F63EA73D-B032-4963-B8C5-8E7BD933A6DC}" uniqueName="1" name="Campaign_Name" queryTableFieldId="1" dataDxfId="38"/>
    <tableColumn id="2" xr3:uid="{1B508802-7A8D-4289-AA0C-AE5DCE6018EA}" uniqueName="2" name="Start_Date" queryTableFieldId="2" dataDxfId="37"/>
    <tableColumn id="3" xr3:uid="{98DE66F7-F31F-4D8A-A0D3-59B9A259D88C}" uniqueName="3" name="End_Date" queryTableFieldId="3" dataDxfId="36"/>
    <tableColumn id="4" xr3:uid="{3EAD244A-D1E1-49C8-8F44-5A9A3169FCD9}" uniqueName="4" name="Objective" queryTableFieldId="4" dataDxfId="35"/>
    <tableColumn id="5" xr3:uid="{632762D9-81D0-4A68-A596-F0996CD9C171}" uniqueName="5" name="Total_Budget" queryTableFieldId="5"/>
    <tableColumn id="6" xr3:uid="{FF85F53D-5CFF-42D8-9A84-E86DB1F2BE48}" uniqueName="6" name="Target_Platforms.1" queryTableFieldId="6" dataDxfId="34"/>
    <tableColumn id="7" xr3:uid="{DD51CB61-C114-4185-97B4-BC609A46CAB8}" uniqueName="7" name="Target_Platforms.2" queryTableFieldId="7" dataDxfId="33"/>
    <tableColumn id="8" xr3:uid="{2396680E-A4AE-4A20-8465-38129D9CA776}" uniqueName="8" name="Primary_Hashtags.1" queryTableFieldId="8" dataDxfId="32"/>
    <tableColumn id="9" xr3:uid="{7214E448-B556-417B-937A-E5B2123CFA9B}" uniqueName="9" name="Primary_Hashtags.2" queryTableFieldId="9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C5C9B0-4A18-43FC-97B3-0C0E9FD6A71B}" name="Engagement_Summary" displayName="Engagement_Summary" ref="A1:I201" tableType="queryTable" totalsRowShown="0">
  <autoFilter ref="A1:I201" xr:uid="{0BC5C9B0-4A18-43FC-97B3-0C0E9FD6A71B}"/>
  <tableColumns count="9">
    <tableColumn id="1" xr3:uid="{B51F40E4-44AD-431E-869A-DE88AE392CC9}" uniqueName="1" name="Week_Start_Date" queryTableFieldId="1" dataDxfId="30"/>
    <tableColumn id="2" xr3:uid="{67294614-2E0B-4F32-9A79-914D18877A88}" uniqueName="2" name="Platform" queryTableFieldId="2" dataDxfId="29"/>
    <tableColumn id="3" xr3:uid="{7AA8FC71-E8F1-43A9-86B1-2070F9457F46}" uniqueName="3" name="New_Followers" queryTableFieldId="3"/>
    <tableColumn id="4" xr3:uid="{8D82A3B1-C1DB-48E8-9965-2DA30818806D}" uniqueName="4" name="Unfollows" queryTableFieldId="4"/>
    <tableColumn id="5" xr3:uid="{148FC2EB-3DEE-4BC7-819E-F90FAC4645E8}" uniqueName="5" name="Total_Followers" queryTableFieldId="5"/>
    <tableColumn id="6" xr3:uid="{CB6FD331-FC8C-42D6-A9E6-7041FAC51AA5}" uniqueName="6" name="Engagement_Rate" queryTableFieldId="6"/>
    <tableColumn id="7" xr3:uid="{59479273-A81B-477E-A726-87C47A54EBE7}" uniqueName="7" name="Ad_Spend" queryTableFieldId="7"/>
    <tableColumn id="8" xr3:uid="{28793FCB-738D-4839-963B-0FB0DF62C4EA}" uniqueName="8" name="Follower Growth" queryTableFieldId="8" dataDxfId="28">
      <calculatedColumnFormula>Engagement_Summary[[#This Row],[New_Followers]]-Engagement_Summary[[#This Row],[Unfollows]]</calculatedColumnFormula>
    </tableColumn>
    <tableColumn id="12" xr3:uid="{8C4A3014-A017-424F-8DEF-711D02EF64A7}" uniqueName="12" name="Column1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119AAB-A753-4167-9E60-3CAE68FEA5D7}" name="Posts" displayName="Posts" ref="A1:U301" tableType="queryTable" totalsRowShown="0">
  <autoFilter ref="A1:U301" xr:uid="{51119AAB-A753-4167-9E60-3CAE68FEA5D7}"/>
  <tableColumns count="21">
    <tableColumn id="1" xr3:uid="{C2D7C650-E708-4369-AE0C-BFF9241AA75A}" uniqueName="1" name="Post ID" queryTableFieldId="1" dataDxfId="27"/>
    <tableColumn id="2" xr3:uid="{663BD735-B4AE-4964-BBF9-112E15901483}" uniqueName="2" name="Platform" queryTableFieldId="2" dataDxfId="26"/>
    <tableColumn id="3" xr3:uid="{327DBFC6-5892-45BD-9844-059BC6366707}" uniqueName="3" name="Date" queryTableFieldId="3" dataDxfId="25"/>
    <tableColumn id="4" xr3:uid="{F73981F6-D487-49F7-8B1E-3CA05D4FD5D7}" uniqueName="4" name="Content Type" queryTableFieldId="4" dataDxfId="24"/>
    <tableColumn id="5" xr3:uid="{9FD0181A-A3A7-4AAE-B0A3-0A7A135705F4}" uniqueName="5" name="Post Text" queryTableFieldId="5" dataDxfId="23"/>
    <tableColumn id="6" xr3:uid="{3E7B0B35-F4DF-462B-83FC-332BCA3D3DB0}" uniqueName="6" name="Likes" queryTableFieldId="6"/>
    <tableColumn id="7" xr3:uid="{E55DF655-8E36-429A-A950-AA0197BD874B}" uniqueName="7" name="Shares" queryTableFieldId="7"/>
    <tableColumn id="8" xr3:uid="{0659A93D-35D6-4BF5-A552-7BD79629CF6B}" uniqueName="8" name="Comments" queryTableFieldId="8"/>
    <tableColumn id="9" xr3:uid="{9B565B7D-4F4A-42EC-BC9D-0CC028CE2444}" uniqueName="9" name="Impressions" queryTableFieldId="9"/>
    <tableColumn id="10" xr3:uid="{A2854EC8-D7B0-4B2F-B705-DFCE1539EED0}" uniqueName="10" name="Reach" queryTableFieldId="10"/>
    <tableColumn id="11" xr3:uid="{880DA60B-0A01-4FBA-9A63-E7F33000EA30}" uniqueName="11" name="Clicks" queryTableFieldId="11"/>
    <tableColumn id="12" xr3:uid="{BA698225-59D6-4183-9281-2AC96C4423CC}" uniqueName="12" name="Hashtags Used.1" queryTableFieldId="12" dataDxfId="22"/>
    <tableColumn id="13" xr3:uid="{EB47F408-2E96-4C44-BEA5-C6D933CBBC33}" uniqueName="13" name="Hashtags Used.2" queryTableFieldId="13" dataDxfId="21"/>
    <tableColumn id="14" xr3:uid="{360118FA-01DD-4848-91CE-5FFBD86CDCF4}" uniqueName="14" name="Campaign_Name" queryTableFieldId="14" dataDxfId="20"/>
    <tableColumn id="16" xr3:uid="{6C0E7070-7499-44DB-9EA4-440AC23A9C34}" uniqueName="16" name="New_Followers" queryTableFieldId="16"/>
    <tableColumn id="17" xr3:uid="{199D02F5-18F0-4AA2-B857-BB5268F80041}" uniqueName="17" name="Unfollows" queryTableFieldId="17"/>
    <tableColumn id="20" xr3:uid="{0EFD218D-806F-4B4C-9512-C0C68B47CABF}" uniqueName="20" name="Ad_Spend" queryTableFieldId="20"/>
    <tableColumn id="25" xr3:uid="{EB720434-B4DE-487E-B9A8-AE746F20BE2C}" uniqueName="25" name="Engagement Rate" queryTableFieldId="27" dataDxfId="19">
      <calculatedColumnFormula>(Posts[[#This Row],[Likes]]+Posts[[#This Row],[Comments]]+Posts[[#This Row],[Shares]])/Posts[[#This Row],[Impressions]]*100</calculatedColumnFormula>
    </tableColumn>
    <tableColumn id="26" xr3:uid="{3DA953E2-8F83-4340-98DB-16382C55683F}" uniqueName="26" name="Ranking" queryTableFieldId="28"/>
    <tableColumn id="15" xr3:uid="{9AF28B7F-9628-43F3-B85F-5CB0A5C7076B}" uniqueName="15" name="Follower Growth" queryTableFieldId="29" dataDxfId="18">
      <calculatedColumnFormula>Posts[[#This Row],[New_Followers]]-Posts[[#This Row],[Unfollows]]</calculatedColumnFormula>
    </tableColumn>
    <tableColumn id="18" xr3:uid="{FEF02B23-3D0A-4C9D-AE9A-DD78849ACECE}" uniqueName="18" name="ROI" queryTableFieldId="30" dataDxfId="17">
      <calculatedColumnFormula>Posts[[#This Row],[Engagement Rate]]/Posts[[#This Row],[Ad_Spend]]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5EC3106-6351-4B20-A133-34FD333F0CB8}" name="Table6" displayName="Table6" ref="A12:G16" totalsRowShown="0">
  <autoFilter ref="A12:G16" xr:uid="{E5EC3106-6351-4B20-A133-34FD333F0CB8}"/>
  <tableColumns count="7">
    <tableColumn id="1" xr3:uid="{1D54457A-4526-4D14-82E8-A4023571B3F9}" name="Campaign Name"/>
    <tableColumn id="2" xr3:uid="{DBFD3AF3-25F5-41C1-85A1-5646747538D0}" name="Total Impressions"/>
    <tableColumn id="3" xr3:uid="{27A3DBB0-F313-4BFD-87FA-34E6EA2913F0}" name="Total Likes"/>
    <tableColumn id="4" xr3:uid="{718DD794-CF79-4925-B2EC-6C7896FF7230}" name="Total Clicks"/>
    <tableColumn id="5" xr3:uid="{B4961F17-5F44-4E3A-8291-C2D6EC840D5C}" name="Average Impressions"/>
    <tableColumn id="6" xr3:uid="{68BF40CD-DA72-478E-BAC1-4D6480D23678}" name="Average Likes"/>
    <tableColumn id="7" xr3:uid="{6055C677-A53B-4AC3-B1A9-7262E1C0ED34}" name="Average Click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473500-049B-4BD2-BF1A-08897CD63DD8}" name="Table7" displayName="Table7" ref="A10:B14" totalsRowShown="0">
  <autoFilter ref="A10:B14" xr:uid="{09473500-049B-4BD2-BF1A-08897CD63DD8}"/>
  <tableColumns count="2">
    <tableColumn id="1" xr3:uid="{592E5A3F-D040-4721-83C8-5073FF392A5D}" name="Campaign_Name" dataDxfId="11"/>
    <tableColumn id="2" xr3:uid="{C04F9670-F846-4367-822D-EB27DA8889E8}" name="ROI(Average Of ROI's During Campaign)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7A8A4A-2E8B-42D7-8ADA-BD7CBD677E3D}" name="Table79" displayName="Table79" ref="A11:B15" totalsRowShown="0">
  <autoFilter ref="A11:B15" xr:uid="{897A8A4A-2E8B-42D7-8ADA-BD7CBD677E3D}"/>
  <tableColumns count="2">
    <tableColumn id="1" xr3:uid="{58E692DE-AD23-456D-8833-CE31E708DED0}" name="Campaign_Name" dataDxfId="10"/>
    <tableColumn id="2" xr3:uid="{B4D425A3-AD65-46AB-AFDB-DE5A8B7AE572}" name="Fallowers Growt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KT127hXHZA4omEFat3genqMWasPRjETM/view?usp=sharin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B536-FBAE-4576-8B76-F86491EF9CF7}">
  <dimension ref="A1:J1"/>
  <sheetViews>
    <sheetView tabSelected="1" workbookViewId="0">
      <selection activeCell="G4" sqref="G4"/>
    </sheetView>
  </sheetViews>
  <sheetFormatPr defaultRowHeight="15" x14ac:dyDescent="0.25"/>
  <sheetData>
    <row r="1" spans="1:10" x14ac:dyDescent="0.25">
      <c r="A1" s="59" t="s">
        <v>546</v>
      </c>
      <c r="B1" s="59"/>
      <c r="C1" s="59"/>
      <c r="D1" s="59"/>
      <c r="E1" s="59"/>
      <c r="F1" s="59"/>
      <c r="G1" s="59"/>
      <c r="H1" s="59"/>
      <c r="I1" s="59"/>
      <c r="J1" s="59"/>
    </row>
  </sheetData>
  <mergeCells count="1">
    <mergeCell ref="A1:J1"/>
  </mergeCells>
  <hyperlinks>
    <hyperlink ref="A1" r:id="rId1" xr:uid="{D2052592-22E7-4D1C-90F9-B91B3CBDA7D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39E5D-B195-47A4-88BD-ACBD22EB684D}">
  <sheetPr codeName="Sheet1"/>
  <dimension ref="A1:I5"/>
  <sheetViews>
    <sheetView workbookViewId="0">
      <selection activeCell="A5" sqref="A5"/>
    </sheetView>
  </sheetViews>
  <sheetFormatPr defaultRowHeight="15" x14ac:dyDescent="0.25"/>
  <cols>
    <col min="1" max="1" width="18.5703125" bestFit="1" customWidth="1"/>
    <col min="2" max="2" width="12.7109375" bestFit="1" customWidth="1"/>
    <col min="3" max="3" width="11.85546875" bestFit="1" customWidth="1"/>
    <col min="4" max="4" width="16.42578125" bestFit="1" customWidth="1"/>
    <col min="5" max="5" width="14.85546875" bestFit="1" customWidth="1"/>
    <col min="6" max="7" width="20.28515625" bestFit="1" customWidth="1"/>
    <col min="8" max="9" width="21.140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1" t="s">
        <v>9</v>
      </c>
      <c r="B2" s="2">
        <v>45458</v>
      </c>
      <c r="C2" s="2">
        <v>45488</v>
      </c>
      <c r="D2" s="1" t="s">
        <v>10</v>
      </c>
      <c r="E2">
        <v>175000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 x14ac:dyDescent="0.25">
      <c r="A3" s="1" t="s">
        <v>15</v>
      </c>
      <c r="B3" s="2">
        <v>45627</v>
      </c>
      <c r="C3" s="2">
        <v>45657</v>
      </c>
      <c r="D3" s="1" t="s">
        <v>16</v>
      </c>
      <c r="E3">
        <v>225000</v>
      </c>
      <c r="F3" s="1" t="s">
        <v>17</v>
      </c>
      <c r="G3" s="1" t="s">
        <v>12</v>
      </c>
      <c r="H3" s="1" t="s">
        <v>13</v>
      </c>
      <c r="I3" s="1" t="s">
        <v>18</v>
      </c>
    </row>
    <row r="4" spans="1:9" x14ac:dyDescent="0.25">
      <c r="A4" s="1" t="s">
        <v>19</v>
      </c>
      <c r="B4" s="2">
        <v>45667</v>
      </c>
      <c r="C4" s="2">
        <v>45698</v>
      </c>
      <c r="D4" s="1" t="s">
        <v>20</v>
      </c>
      <c r="E4">
        <v>200000</v>
      </c>
      <c r="F4" s="1" t="s">
        <v>11</v>
      </c>
      <c r="G4" s="1" t="s">
        <v>17</v>
      </c>
      <c r="H4" s="1" t="s">
        <v>21</v>
      </c>
      <c r="I4" s="1" t="s">
        <v>22</v>
      </c>
    </row>
    <row r="5" spans="1:9" x14ac:dyDescent="0.25">
      <c r="A5" s="1" t="s">
        <v>23</v>
      </c>
      <c r="B5" s="2">
        <v>45717</v>
      </c>
      <c r="C5" s="2">
        <v>45747</v>
      </c>
      <c r="D5" s="1" t="s">
        <v>24</v>
      </c>
      <c r="E5">
        <v>160000</v>
      </c>
      <c r="F5" s="1" t="s">
        <v>25</v>
      </c>
      <c r="G5" s="1" t="s">
        <v>11</v>
      </c>
      <c r="H5" s="1" t="s">
        <v>26</v>
      </c>
      <c r="I5" s="1" t="s">
        <v>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3F24F-ABDA-4925-87A0-9DA88C5936BB}">
  <sheetPr codeName="Sheet2"/>
  <dimension ref="A1:I201"/>
  <sheetViews>
    <sheetView workbookViewId="0">
      <selection activeCell="F47" sqref="F47"/>
    </sheetView>
  </sheetViews>
  <sheetFormatPr defaultRowHeight="15" x14ac:dyDescent="0.25"/>
  <cols>
    <col min="1" max="1" width="18.85546875" bestFit="1" customWidth="1"/>
    <col min="2" max="2" width="11" bestFit="1" customWidth="1"/>
    <col min="3" max="3" width="17" bestFit="1" customWidth="1"/>
    <col min="4" max="4" width="12.28515625" bestFit="1" customWidth="1"/>
    <col min="5" max="5" width="17.42578125" bestFit="1" customWidth="1"/>
    <col min="6" max="6" width="19.7109375" bestFit="1" customWidth="1"/>
    <col min="7" max="7" width="12.140625" bestFit="1" customWidth="1"/>
    <col min="8" max="8" width="18" bestFit="1" customWidth="1"/>
  </cols>
  <sheetData>
    <row r="1" spans="1:9" x14ac:dyDescent="0.25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450</v>
      </c>
      <c r="I1" t="s">
        <v>529</v>
      </c>
    </row>
    <row r="2" spans="1:9" x14ac:dyDescent="0.25">
      <c r="A2" s="2">
        <v>45446</v>
      </c>
      <c r="B2" s="1" t="s">
        <v>11</v>
      </c>
      <c r="C2">
        <v>1402</v>
      </c>
      <c r="D2">
        <v>68</v>
      </c>
      <c r="E2">
        <v>124562</v>
      </c>
      <c r="F2">
        <v>9.92</v>
      </c>
      <c r="G2">
        <v>23125</v>
      </c>
      <c r="H2">
        <f>Engagement_Summary[[#This Row],[New_Followers]]-Engagement_Summary[[#This Row],[Unfollows]]</f>
        <v>1334</v>
      </c>
      <c r="I2" t="e">
        <v>#N/A</v>
      </c>
    </row>
    <row r="3" spans="1:9" x14ac:dyDescent="0.25">
      <c r="A3" s="2">
        <v>45446</v>
      </c>
      <c r="B3" s="1" t="s">
        <v>17</v>
      </c>
      <c r="C3">
        <v>995</v>
      </c>
      <c r="D3">
        <v>86</v>
      </c>
      <c r="E3">
        <v>227958</v>
      </c>
      <c r="F3">
        <v>8.0500000000000007</v>
      </c>
      <c r="G3">
        <v>22788</v>
      </c>
      <c r="H3">
        <f>Engagement_Summary[[#This Row],[New_Followers]]-Engagement_Summary[[#This Row],[Unfollows]]</f>
        <v>909</v>
      </c>
      <c r="I3">
        <f t="shared" ref="I3:I34" si="0">AVERAGE(H3:H4)</f>
        <v>1042.5</v>
      </c>
    </row>
    <row r="4" spans="1:9" x14ac:dyDescent="0.25">
      <c r="A4" s="2">
        <v>45446</v>
      </c>
      <c r="B4" s="1" t="s">
        <v>12</v>
      </c>
      <c r="C4">
        <v>1472</v>
      </c>
      <c r="D4">
        <v>296</v>
      </c>
      <c r="E4">
        <v>370242</v>
      </c>
      <c r="F4">
        <v>7.72</v>
      </c>
      <c r="G4">
        <v>7810</v>
      </c>
      <c r="H4">
        <f>Engagement_Summary[[#This Row],[New_Followers]]-Engagement_Summary[[#This Row],[Unfollows]]</f>
        <v>1176</v>
      </c>
      <c r="I4">
        <f t="shared" si="0"/>
        <v>1052</v>
      </c>
    </row>
    <row r="5" spans="1:9" x14ac:dyDescent="0.25">
      <c r="A5" s="2">
        <v>45453</v>
      </c>
      <c r="B5" s="1" t="s">
        <v>11</v>
      </c>
      <c r="C5">
        <v>1018</v>
      </c>
      <c r="D5">
        <v>90</v>
      </c>
      <c r="E5">
        <v>92474</v>
      </c>
      <c r="F5">
        <v>9.4</v>
      </c>
      <c r="G5">
        <v>11966</v>
      </c>
      <c r="H5">
        <f>Engagement_Summary[[#This Row],[New_Followers]]-Engagement_Summary[[#This Row],[Unfollows]]</f>
        <v>928</v>
      </c>
      <c r="I5">
        <f t="shared" si="0"/>
        <v>1162.5</v>
      </c>
    </row>
    <row r="6" spans="1:9" x14ac:dyDescent="0.25">
      <c r="A6" s="2">
        <v>45453</v>
      </c>
      <c r="B6" s="1" t="s">
        <v>17</v>
      </c>
      <c r="C6">
        <v>1461</v>
      </c>
      <c r="D6">
        <v>64</v>
      </c>
      <c r="E6">
        <v>328902</v>
      </c>
      <c r="F6">
        <v>9.02</v>
      </c>
      <c r="G6">
        <v>26298</v>
      </c>
      <c r="H6">
        <f>Engagement_Summary[[#This Row],[New_Followers]]-Engagement_Summary[[#This Row],[Unfollows]]</f>
        <v>1397</v>
      </c>
      <c r="I6">
        <f t="shared" si="0"/>
        <v>924.5</v>
      </c>
    </row>
    <row r="7" spans="1:9" x14ac:dyDescent="0.25">
      <c r="A7" s="2">
        <v>45453</v>
      </c>
      <c r="B7" s="1" t="s">
        <v>12</v>
      </c>
      <c r="C7">
        <v>545</v>
      </c>
      <c r="D7">
        <v>93</v>
      </c>
      <c r="E7">
        <v>391621</v>
      </c>
      <c r="F7">
        <v>9.9600000000000009</v>
      </c>
      <c r="G7">
        <v>22029</v>
      </c>
      <c r="H7">
        <f>Engagement_Summary[[#This Row],[New_Followers]]-Engagement_Summary[[#This Row],[Unfollows]]</f>
        <v>452</v>
      </c>
      <c r="I7">
        <f t="shared" si="0"/>
        <v>521</v>
      </c>
    </row>
    <row r="8" spans="1:9" x14ac:dyDescent="0.25">
      <c r="A8" s="2">
        <v>45460</v>
      </c>
      <c r="B8" s="1" t="s">
        <v>11</v>
      </c>
      <c r="C8">
        <v>881</v>
      </c>
      <c r="D8">
        <v>291</v>
      </c>
      <c r="E8">
        <v>95885</v>
      </c>
      <c r="F8">
        <v>5.29</v>
      </c>
      <c r="G8">
        <v>12391</v>
      </c>
      <c r="H8">
        <f>Engagement_Summary[[#This Row],[New_Followers]]-Engagement_Summary[[#This Row],[Unfollows]]</f>
        <v>590</v>
      </c>
      <c r="I8">
        <f t="shared" si="0"/>
        <v>936.5</v>
      </c>
    </row>
    <row r="9" spans="1:9" x14ac:dyDescent="0.25">
      <c r="A9" s="2">
        <v>45460</v>
      </c>
      <c r="B9" s="1" t="s">
        <v>17</v>
      </c>
      <c r="C9">
        <v>1414</v>
      </c>
      <c r="D9">
        <v>131</v>
      </c>
      <c r="E9">
        <v>245947</v>
      </c>
      <c r="F9">
        <v>8.3000000000000007</v>
      </c>
      <c r="G9">
        <v>14477</v>
      </c>
      <c r="H9">
        <f>Engagement_Summary[[#This Row],[New_Followers]]-Engagement_Summary[[#This Row],[Unfollows]]</f>
        <v>1283</v>
      </c>
      <c r="I9">
        <f t="shared" si="0"/>
        <v>1292.5</v>
      </c>
    </row>
    <row r="10" spans="1:9" x14ac:dyDescent="0.25">
      <c r="A10" s="2">
        <v>45460</v>
      </c>
      <c r="B10" s="1" t="s">
        <v>12</v>
      </c>
      <c r="C10">
        <v>1472</v>
      </c>
      <c r="D10">
        <v>170</v>
      </c>
      <c r="E10">
        <v>250428</v>
      </c>
      <c r="F10">
        <v>4.66</v>
      </c>
      <c r="G10">
        <v>25040</v>
      </c>
      <c r="H10">
        <f>Engagement_Summary[[#This Row],[New_Followers]]-Engagement_Summary[[#This Row],[Unfollows]]</f>
        <v>1302</v>
      </c>
      <c r="I10">
        <f t="shared" si="0"/>
        <v>957</v>
      </c>
    </row>
    <row r="11" spans="1:9" x14ac:dyDescent="0.25">
      <c r="A11" s="2">
        <v>45467</v>
      </c>
      <c r="B11" s="1" t="s">
        <v>11</v>
      </c>
      <c r="C11">
        <v>809</v>
      </c>
      <c r="D11">
        <v>197</v>
      </c>
      <c r="E11">
        <v>87186</v>
      </c>
      <c r="F11">
        <v>9.48</v>
      </c>
      <c r="G11">
        <v>22619</v>
      </c>
      <c r="H11">
        <f>Engagement_Summary[[#This Row],[New_Followers]]-Engagement_Summary[[#This Row],[Unfollows]]</f>
        <v>612</v>
      </c>
      <c r="I11">
        <f t="shared" si="0"/>
        <v>866.5</v>
      </c>
    </row>
    <row r="12" spans="1:9" x14ac:dyDescent="0.25">
      <c r="A12" s="2">
        <v>45467</v>
      </c>
      <c r="B12" s="1" t="s">
        <v>17</v>
      </c>
      <c r="C12">
        <v>1371</v>
      </c>
      <c r="D12">
        <v>250</v>
      </c>
      <c r="E12">
        <v>128620</v>
      </c>
      <c r="F12">
        <v>7.11</v>
      </c>
      <c r="G12">
        <v>12399</v>
      </c>
      <c r="H12">
        <f>Engagement_Summary[[#This Row],[New_Followers]]-Engagement_Summary[[#This Row],[Unfollows]]</f>
        <v>1121</v>
      </c>
      <c r="I12">
        <f t="shared" si="0"/>
        <v>910.5</v>
      </c>
    </row>
    <row r="13" spans="1:9" x14ac:dyDescent="0.25">
      <c r="A13" s="2">
        <v>45467</v>
      </c>
      <c r="B13" s="1" t="s">
        <v>12</v>
      </c>
      <c r="C13">
        <v>844</v>
      </c>
      <c r="D13">
        <v>144</v>
      </c>
      <c r="E13">
        <v>126015</v>
      </c>
      <c r="F13">
        <v>9.65</v>
      </c>
      <c r="G13">
        <v>22456</v>
      </c>
      <c r="H13">
        <f>Engagement_Summary[[#This Row],[New_Followers]]-Engagement_Summary[[#This Row],[Unfollows]]</f>
        <v>700</v>
      </c>
      <c r="I13">
        <f t="shared" si="0"/>
        <v>908.5</v>
      </c>
    </row>
    <row r="14" spans="1:9" x14ac:dyDescent="0.25">
      <c r="A14" s="2">
        <v>45474</v>
      </c>
      <c r="B14" s="1" t="s">
        <v>12</v>
      </c>
      <c r="C14">
        <v>1218</v>
      </c>
      <c r="D14">
        <v>101</v>
      </c>
      <c r="E14">
        <v>300397</v>
      </c>
      <c r="F14">
        <v>4.33</v>
      </c>
      <c r="G14">
        <v>12277</v>
      </c>
      <c r="H14">
        <f>Engagement_Summary[[#This Row],[New_Followers]]-Engagement_Summary[[#This Row],[Unfollows]]</f>
        <v>1117</v>
      </c>
      <c r="I14">
        <f t="shared" si="0"/>
        <v>915.5</v>
      </c>
    </row>
    <row r="15" spans="1:9" x14ac:dyDescent="0.25">
      <c r="A15" s="2">
        <v>45474</v>
      </c>
      <c r="B15" s="1" t="s">
        <v>11</v>
      </c>
      <c r="C15">
        <v>786</v>
      </c>
      <c r="D15">
        <v>72</v>
      </c>
      <c r="E15">
        <v>178615</v>
      </c>
      <c r="F15">
        <v>5.43</v>
      </c>
      <c r="G15">
        <v>19328</v>
      </c>
      <c r="H15">
        <f>Engagement_Summary[[#This Row],[New_Followers]]-Engagement_Summary[[#This Row],[Unfollows]]</f>
        <v>714</v>
      </c>
      <c r="I15">
        <f t="shared" si="0"/>
        <v>654.5</v>
      </c>
    </row>
    <row r="16" spans="1:9" x14ac:dyDescent="0.25">
      <c r="A16" s="2">
        <v>45474</v>
      </c>
      <c r="B16" s="1" t="s">
        <v>17</v>
      </c>
      <c r="C16">
        <v>845</v>
      </c>
      <c r="D16">
        <v>250</v>
      </c>
      <c r="E16">
        <v>218228</v>
      </c>
      <c r="F16">
        <v>4.5199999999999996</v>
      </c>
      <c r="G16">
        <v>21107</v>
      </c>
      <c r="H16">
        <f>Engagement_Summary[[#This Row],[New_Followers]]-Engagement_Summary[[#This Row],[Unfollows]]</f>
        <v>595</v>
      </c>
      <c r="I16">
        <f t="shared" si="0"/>
        <v>631</v>
      </c>
    </row>
    <row r="17" spans="1:9" x14ac:dyDescent="0.25">
      <c r="A17" s="2">
        <v>45481</v>
      </c>
      <c r="B17" s="1" t="s">
        <v>11</v>
      </c>
      <c r="C17">
        <v>797</v>
      </c>
      <c r="D17">
        <v>130</v>
      </c>
      <c r="E17">
        <v>340121</v>
      </c>
      <c r="F17">
        <v>8.52</v>
      </c>
      <c r="G17">
        <v>11684</v>
      </c>
      <c r="H17">
        <f>Engagement_Summary[[#This Row],[New_Followers]]-Engagement_Summary[[#This Row],[Unfollows]]</f>
        <v>667</v>
      </c>
      <c r="I17">
        <f t="shared" si="0"/>
        <v>1019</v>
      </c>
    </row>
    <row r="18" spans="1:9" x14ac:dyDescent="0.25">
      <c r="A18" s="2">
        <v>45481</v>
      </c>
      <c r="B18" s="1" t="s">
        <v>17</v>
      </c>
      <c r="C18">
        <v>1471</v>
      </c>
      <c r="D18">
        <v>100</v>
      </c>
      <c r="E18">
        <v>76866</v>
      </c>
      <c r="F18">
        <v>8.5500000000000007</v>
      </c>
      <c r="G18">
        <v>14412</v>
      </c>
      <c r="H18">
        <f>Engagement_Summary[[#This Row],[New_Followers]]-Engagement_Summary[[#This Row],[Unfollows]]</f>
        <v>1371</v>
      </c>
      <c r="I18">
        <f t="shared" si="0"/>
        <v>1244</v>
      </c>
    </row>
    <row r="19" spans="1:9" x14ac:dyDescent="0.25">
      <c r="A19" s="2">
        <v>45481</v>
      </c>
      <c r="B19" s="1" t="s">
        <v>12</v>
      </c>
      <c r="C19">
        <v>1253</v>
      </c>
      <c r="D19">
        <v>136</v>
      </c>
      <c r="E19">
        <v>193131</v>
      </c>
      <c r="F19">
        <v>7.99</v>
      </c>
      <c r="G19">
        <v>15924</v>
      </c>
      <c r="H19">
        <f>Engagement_Summary[[#This Row],[New_Followers]]-Engagement_Summary[[#This Row],[Unfollows]]</f>
        <v>1117</v>
      </c>
      <c r="I19">
        <f t="shared" si="0"/>
        <v>738</v>
      </c>
    </row>
    <row r="20" spans="1:9" x14ac:dyDescent="0.25">
      <c r="A20" s="2">
        <v>45488</v>
      </c>
      <c r="B20" s="1" t="s">
        <v>11</v>
      </c>
      <c r="C20">
        <v>616</v>
      </c>
      <c r="D20">
        <v>257</v>
      </c>
      <c r="E20">
        <v>169665</v>
      </c>
      <c r="F20">
        <v>6.31</v>
      </c>
      <c r="G20">
        <v>12390</v>
      </c>
      <c r="H20">
        <f>Engagement_Summary[[#This Row],[New_Followers]]-Engagement_Summary[[#This Row],[Unfollows]]</f>
        <v>359</v>
      </c>
      <c r="I20">
        <f t="shared" si="0"/>
        <v>728.5</v>
      </c>
    </row>
    <row r="21" spans="1:9" x14ac:dyDescent="0.25">
      <c r="A21" s="2">
        <v>45488</v>
      </c>
      <c r="B21" s="1" t="s">
        <v>17</v>
      </c>
      <c r="C21">
        <v>1308</v>
      </c>
      <c r="D21">
        <v>210</v>
      </c>
      <c r="E21">
        <v>263729</v>
      </c>
      <c r="F21">
        <v>8.5299999999999994</v>
      </c>
      <c r="G21">
        <v>25742</v>
      </c>
      <c r="H21">
        <f>Engagement_Summary[[#This Row],[New_Followers]]-Engagement_Summary[[#This Row],[Unfollows]]</f>
        <v>1098</v>
      </c>
      <c r="I21">
        <f t="shared" si="0"/>
        <v>1005</v>
      </c>
    </row>
    <row r="22" spans="1:9" x14ac:dyDescent="0.25">
      <c r="A22" s="2">
        <v>45488</v>
      </c>
      <c r="B22" s="1" t="s">
        <v>12</v>
      </c>
      <c r="C22">
        <v>981</v>
      </c>
      <c r="D22">
        <v>69</v>
      </c>
      <c r="E22">
        <v>206921</v>
      </c>
      <c r="F22">
        <v>8.42</v>
      </c>
      <c r="G22">
        <v>10495</v>
      </c>
      <c r="H22">
        <f>Engagement_Summary[[#This Row],[New_Followers]]-Engagement_Summary[[#This Row],[Unfollows]]</f>
        <v>912</v>
      </c>
      <c r="I22">
        <f t="shared" si="0"/>
        <v>1018.5</v>
      </c>
    </row>
    <row r="23" spans="1:9" x14ac:dyDescent="0.25">
      <c r="A23" s="2">
        <v>45495</v>
      </c>
      <c r="B23" s="1" t="s">
        <v>12</v>
      </c>
      <c r="C23">
        <v>1241</v>
      </c>
      <c r="D23">
        <v>116</v>
      </c>
      <c r="E23">
        <v>380606</v>
      </c>
      <c r="F23">
        <v>4.2</v>
      </c>
      <c r="G23">
        <v>24617</v>
      </c>
      <c r="H23">
        <f>Engagement_Summary[[#This Row],[New_Followers]]-Engagement_Summary[[#This Row],[Unfollows]]</f>
        <v>1125</v>
      </c>
      <c r="I23">
        <f t="shared" si="0"/>
        <v>958.5</v>
      </c>
    </row>
    <row r="24" spans="1:9" x14ac:dyDescent="0.25">
      <c r="A24" s="2">
        <v>45495</v>
      </c>
      <c r="B24" s="1" t="s">
        <v>11</v>
      </c>
      <c r="C24">
        <v>866</v>
      </c>
      <c r="D24">
        <v>74</v>
      </c>
      <c r="E24">
        <v>204121</v>
      </c>
      <c r="F24">
        <v>9.34</v>
      </c>
      <c r="G24">
        <v>7797</v>
      </c>
      <c r="H24">
        <f>Engagement_Summary[[#This Row],[New_Followers]]-Engagement_Summary[[#This Row],[Unfollows]]</f>
        <v>792</v>
      </c>
      <c r="I24">
        <f t="shared" si="0"/>
        <v>578</v>
      </c>
    </row>
    <row r="25" spans="1:9" x14ac:dyDescent="0.25">
      <c r="A25" s="2">
        <v>45495</v>
      </c>
      <c r="B25" s="1" t="s">
        <v>17</v>
      </c>
      <c r="C25">
        <v>547</v>
      </c>
      <c r="D25">
        <v>183</v>
      </c>
      <c r="E25">
        <v>266350</v>
      </c>
      <c r="F25">
        <v>5.65</v>
      </c>
      <c r="G25">
        <v>15595</v>
      </c>
      <c r="H25">
        <f>Engagement_Summary[[#This Row],[New_Followers]]-Engagement_Summary[[#This Row],[Unfollows]]</f>
        <v>364</v>
      </c>
      <c r="I25">
        <f t="shared" si="0"/>
        <v>606.5</v>
      </c>
    </row>
    <row r="26" spans="1:9" x14ac:dyDescent="0.25">
      <c r="A26" s="2">
        <v>45502</v>
      </c>
      <c r="B26" s="1" t="s">
        <v>12</v>
      </c>
      <c r="C26">
        <v>983</v>
      </c>
      <c r="D26">
        <v>134</v>
      </c>
      <c r="E26">
        <v>352178</v>
      </c>
      <c r="F26">
        <v>3.55</v>
      </c>
      <c r="G26">
        <v>11421</v>
      </c>
      <c r="H26">
        <f>Engagement_Summary[[#This Row],[New_Followers]]-Engagement_Summary[[#This Row],[Unfollows]]</f>
        <v>849</v>
      </c>
      <c r="I26">
        <f t="shared" si="0"/>
        <v>859</v>
      </c>
    </row>
    <row r="27" spans="1:9" x14ac:dyDescent="0.25">
      <c r="A27" s="2">
        <v>45502</v>
      </c>
      <c r="B27" s="1" t="s">
        <v>11</v>
      </c>
      <c r="C27">
        <v>973</v>
      </c>
      <c r="D27">
        <v>104</v>
      </c>
      <c r="E27">
        <v>376358</v>
      </c>
      <c r="F27">
        <v>3.87</v>
      </c>
      <c r="G27">
        <v>9847</v>
      </c>
      <c r="H27">
        <f>Engagement_Summary[[#This Row],[New_Followers]]-Engagement_Summary[[#This Row],[Unfollows]]</f>
        <v>869</v>
      </c>
      <c r="I27">
        <f t="shared" si="0"/>
        <v>641.5</v>
      </c>
    </row>
    <row r="28" spans="1:9" x14ac:dyDescent="0.25">
      <c r="A28" s="2">
        <v>45502</v>
      </c>
      <c r="B28" s="1" t="s">
        <v>17</v>
      </c>
      <c r="C28">
        <v>611</v>
      </c>
      <c r="D28">
        <v>197</v>
      </c>
      <c r="E28">
        <v>79423</v>
      </c>
      <c r="F28">
        <v>5.82</v>
      </c>
      <c r="G28">
        <v>13644</v>
      </c>
      <c r="H28">
        <f>Engagement_Summary[[#This Row],[New_Followers]]-Engagement_Summary[[#This Row],[Unfollows]]</f>
        <v>414</v>
      </c>
      <c r="I28">
        <f t="shared" si="0"/>
        <v>883.5</v>
      </c>
    </row>
    <row r="29" spans="1:9" x14ac:dyDescent="0.25">
      <c r="A29" s="2">
        <v>45509</v>
      </c>
      <c r="B29" s="1" t="s">
        <v>11</v>
      </c>
      <c r="C29">
        <v>1449</v>
      </c>
      <c r="D29">
        <v>96</v>
      </c>
      <c r="E29">
        <v>200636</v>
      </c>
      <c r="F29">
        <v>9.92</v>
      </c>
      <c r="G29">
        <v>15613</v>
      </c>
      <c r="H29">
        <f>Engagement_Summary[[#This Row],[New_Followers]]-Engagement_Summary[[#This Row],[Unfollows]]</f>
        <v>1353</v>
      </c>
      <c r="I29">
        <f t="shared" si="0"/>
        <v>967.5</v>
      </c>
    </row>
    <row r="30" spans="1:9" x14ac:dyDescent="0.25">
      <c r="A30" s="2">
        <v>45509</v>
      </c>
      <c r="B30" s="1" t="s">
        <v>17</v>
      </c>
      <c r="C30">
        <v>752</v>
      </c>
      <c r="D30">
        <v>170</v>
      </c>
      <c r="E30">
        <v>132756</v>
      </c>
      <c r="F30">
        <v>8.17</v>
      </c>
      <c r="G30">
        <v>23900</v>
      </c>
      <c r="H30">
        <f>Engagement_Summary[[#This Row],[New_Followers]]-Engagement_Summary[[#This Row],[Unfollows]]</f>
        <v>582</v>
      </c>
      <c r="I30">
        <f t="shared" si="0"/>
        <v>670</v>
      </c>
    </row>
    <row r="31" spans="1:9" x14ac:dyDescent="0.25">
      <c r="A31" s="2">
        <v>45509</v>
      </c>
      <c r="B31" s="1" t="s">
        <v>12</v>
      </c>
      <c r="C31">
        <v>937</v>
      </c>
      <c r="D31">
        <v>179</v>
      </c>
      <c r="E31">
        <v>318098</v>
      </c>
      <c r="F31">
        <v>5.3</v>
      </c>
      <c r="G31">
        <v>5836</v>
      </c>
      <c r="H31">
        <f>Engagement_Summary[[#This Row],[New_Followers]]-Engagement_Summary[[#This Row],[Unfollows]]</f>
        <v>758</v>
      </c>
      <c r="I31">
        <f t="shared" si="0"/>
        <v>867.5</v>
      </c>
    </row>
    <row r="32" spans="1:9" x14ac:dyDescent="0.25">
      <c r="A32" s="2">
        <v>45516</v>
      </c>
      <c r="B32" s="1" t="s">
        <v>11</v>
      </c>
      <c r="C32">
        <v>1060</v>
      </c>
      <c r="D32">
        <v>83</v>
      </c>
      <c r="E32">
        <v>68724</v>
      </c>
      <c r="F32">
        <v>5.98</v>
      </c>
      <c r="G32">
        <v>5624</v>
      </c>
      <c r="H32">
        <f>Engagement_Summary[[#This Row],[New_Followers]]-Engagement_Summary[[#This Row],[Unfollows]]</f>
        <v>977</v>
      </c>
      <c r="I32">
        <f t="shared" si="0"/>
        <v>1084</v>
      </c>
    </row>
    <row r="33" spans="1:9" x14ac:dyDescent="0.25">
      <c r="A33" s="2">
        <v>45516</v>
      </c>
      <c r="B33" s="1" t="s">
        <v>17</v>
      </c>
      <c r="C33">
        <v>1456</v>
      </c>
      <c r="D33">
        <v>265</v>
      </c>
      <c r="E33">
        <v>115505</v>
      </c>
      <c r="F33">
        <v>7.49</v>
      </c>
      <c r="G33">
        <v>10311</v>
      </c>
      <c r="H33">
        <f>Engagement_Summary[[#This Row],[New_Followers]]-Engagement_Summary[[#This Row],[Unfollows]]</f>
        <v>1191</v>
      </c>
      <c r="I33">
        <f t="shared" si="0"/>
        <v>1047.5</v>
      </c>
    </row>
    <row r="34" spans="1:9" x14ac:dyDescent="0.25">
      <c r="A34" s="2">
        <v>45516</v>
      </c>
      <c r="B34" s="1" t="s">
        <v>12</v>
      </c>
      <c r="C34">
        <v>1109</v>
      </c>
      <c r="D34">
        <v>205</v>
      </c>
      <c r="E34">
        <v>276722</v>
      </c>
      <c r="F34">
        <v>9.3800000000000008</v>
      </c>
      <c r="G34">
        <v>8274</v>
      </c>
      <c r="H34">
        <f>Engagement_Summary[[#This Row],[New_Followers]]-Engagement_Summary[[#This Row],[Unfollows]]</f>
        <v>904</v>
      </c>
      <c r="I34">
        <f t="shared" si="0"/>
        <v>956.5</v>
      </c>
    </row>
    <row r="35" spans="1:9" x14ac:dyDescent="0.25">
      <c r="A35" s="2">
        <v>45523</v>
      </c>
      <c r="B35" s="1" t="s">
        <v>12</v>
      </c>
      <c r="C35">
        <v>1240</v>
      </c>
      <c r="D35">
        <v>231</v>
      </c>
      <c r="E35">
        <v>165035</v>
      </c>
      <c r="F35">
        <v>6.05</v>
      </c>
      <c r="G35">
        <v>18267</v>
      </c>
      <c r="H35">
        <f>Engagement_Summary[[#This Row],[New_Followers]]-Engagement_Summary[[#This Row],[Unfollows]]</f>
        <v>1009</v>
      </c>
      <c r="I35">
        <f t="shared" ref="I35:I66" si="1">AVERAGE(H35:H36)</f>
        <v>959</v>
      </c>
    </row>
    <row r="36" spans="1:9" x14ac:dyDescent="0.25">
      <c r="A36" s="2">
        <v>45523</v>
      </c>
      <c r="B36" s="1" t="s">
        <v>11</v>
      </c>
      <c r="C36">
        <v>1002</v>
      </c>
      <c r="D36">
        <v>93</v>
      </c>
      <c r="E36">
        <v>353538</v>
      </c>
      <c r="F36">
        <v>5.84</v>
      </c>
      <c r="G36">
        <v>6031</v>
      </c>
      <c r="H36">
        <f>Engagement_Summary[[#This Row],[New_Followers]]-Engagement_Summary[[#This Row],[Unfollows]]</f>
        <v>909</v>
      </c>
      <c r="I36">
        <f t="shared" si="1"/>
        <v>645.5</v>
      </c>
    </row>
    <row r="37" spans="1:9" x14ac:dyDescent="0.25">
      <c r="A37" s="2">
        <v>45523</v>
      </c>
      <c r="B37" s="1" t="s">
        <v>17</v>
      </c>
      <c r="C37">
        <v>571</v>
      </c>
      <c r="D37">
        <v>189</v>
      </c>
      <c r="E37">
        <v>61445</v>
      </c>
      <c r="F37">
        <v>5.41</v>
      </c>
      <c r="G37">
        <v>27829</v>
      </c>
      <c r="H37">
        <f>Engagement_Summary[[#This Row],[New_Followers]]-Engagement_Summary[[#This Row],[Unfollows]]</f>
        <v>382</v>
      </c>
      <c r="I37">
        <f t="shared" si="1"/>
        <v>774</v>
      </c>
    </row>
    <row r="38" spans="1:9" x14ac:dyDescent="0.25">
      <c r="A38" s="2">
        <v>45530</v>
      </c>
      <c r="B38" s="1" t="s">
        <v>12</v>
      </c>
      <c r="C38">
        <v>1456</v>
      </c>
      <c r="D38">
        <v>290</v>
      </c>
      <c r="E38">
        <v>271044</v>
      </c>
      <c r="F38">
        <v>7.17</v>
      </c>
      <c r="G38">
        <v>13051</v>
      </c>
      <c r="H38">
        <f>Engagement_Summary[[#This Row],[New_Followers]]-Engagement_Summary[[#This Row],[Unfollows]]</f>
        <v>1166</v>
      </c>
      <c r="I38">
        <f t="shared" si="1"/>
        <v>714</v>
      </c>
    </row>
    <row r="39" spans="1:9" x14ac:dyDescent="0.25">
      <c r="A39" s="2">
        <v>45530</v>
      </c>
      <c r="B39" s="1" t="s">
        <v>17</v>
      </c>
      <c r="C39">
        <v>537</v>
      </c>
      <c r="D39">
        <v>275</v>
      </c>
      <c r="E39">
        <v>236238</v>
      </c>
      <c r="F39">
        <v>5.87</v>
      </c>
      <c r="G39">
        <v>26644</v>
      </c>
      <c r="H39">
        <f>Engagement_Summary[[#This Row],[New_Followers]]-Engagement_Summary[[#This Row],[Unfollows]]</f>
        <v>262</v>
      </c>
      <c r="I39">
        <f t="shared" si="1"/>
        <v>642</v>
      </c>
    </row>
    <row r="40" spans="1:9" x14ac:dyDescent="0.25">
      <c r="A40" s="2">
        <v>45530</v>
      </c>
      <c r="B40" s="1" t="s">
        <v>11</v>
      </c>
      <c r="C40">
        <v>1154</v>
      </c>
      <c r="D40">
        <v>132</v>
      </c>
      <c r="E40">
        <v>194595</v>
      </c>
      <c r="F40">
        <v>7.54</v>
      </c>
      <c r="G40">
        <v>26624</v>
      </c>
      <c r="H40">
        <f>Engagement_Summary[[#This Row],[New_Followers]]-Engagement_Summary[[#This Row],[Unfollows]]</f>
        <v>1022</v>
      </c>
      <c r="I40">
        <f t="shared" si="1"/>
        <v>768.5</v>
      </c>
    </row>
    <row r="41" spans="1:9" x14ac:dyDescent="0.25">
      <c r="A41" s="2">
        <v>45537</v>
      </c>
      <c r="B41" s="1" t="s">
        <v>11</v>
      </c>
      <c r="C41">
        <v>721</v>
      </c>
      <c r="D41">
        <v>206</v>
      </c>
      <c r="E41">
        <v>334887</v>
      </c>
      <c r="F41">
        <v>6.05</v>
      </c>
      <c r="G41">
        <v>14217</v>
      </c>
      <c r="H41">
        <f>Engagement_Summary[[#This Row],[New_Followers]]-Engagement_Summary[[#This Row],[Unfollows]]</f>
        <v>515</v>
      </c>
      <c r="I41">
        <f t="shared" si="1"/>
        <v>735.5</v>
      </c>
    </row>
    <row r="42" spans="1:9" x14ac:dyDescent="0.25">
      <c r="A42" s="2">
        <v>45537</v>
      </c>
      <c r="B42" s="1" t="s">
        <v>17</v>
      </c>
      <c r="C42">
        <v>1098</v>
      </c>
      <c r="D42">
        <v>142</v>
      </c>
      <c r="E42">
        <v>359150</v>
      </c>
      <c r="F42">
        <v>7.51</v>
      </c>
      <c r="G42">
        <v>16385</v>
      </c>
      <c r="H42">
        <f>Engagement_Summary[[#This Row],[New_Followers]]-Engagement_Summary[[#This Row],[Unfollows]]</f>
        <v>956</v>
      </c>
      <c r="I42">
        <f t="shared" si="1"/>
        <v>993.5</v>
      </c>
    </row>
    <row r="43" spans="1:9" x14ac:dyDescent="0.25">
      <c r="A43" s="2">
        <v>45537</v>
      </c>
      <c r="B43" s="1" t="s">
        <v>12</v>
      </c>
      <c r="C43">
        <v>1096</v>
      </c>
      <c r="D43">
        <v>65</v>
      </c>
      <c r="E43">
        <v>358295</v>
      </c>
      <c r="F43">
        <v>7.66</v>
      </c>
      <c r="G43">
        <v>24548</v>
      </c>
      <c r="H43">
        <f>Engagement_Summary[[#This Row],[New_Followers]]-Engagement_Summary[[#This Row],[Unfollows]]</f>
        <v>1031</v>
      </c>
      <c r="I43">
        <f t="shared" si="1"/>
        <v>878</v>
      </c>
    </row>
    <row r="44" spans="1:9" x14ac:dyDescent="0.25">
      <c r="A44" s="2">
        <v>45544</v>
      </c>
      <c r="B44" s="1" t="s">
        <v>12</v>
      </c>
      <c r="C44">
        <v>854</v>
      </c>
      <c r="D44">
        <v>129</v>
      </c>
      <c r="E44">
        <v>310903</v>
      </c>
      <c r="F44">
        <v>7.83</v>
      </c>
      <c r="G44">
        <v>16875</v>
      </c>
      <c r="H44">
        <f>Engagement_Summary[[#This Row],[New_Followers]]-Engagement_Summary[[#This Row],[Unfollows]]</f>
        <v>725</v>
      </c>
      <c r="I44">
        <f t="shared" si="1"/>
        <v>681</v>
      </c>
    </row>
    <row r="45" spans="1:9" x14ac:dyDescent="0.25">
      <c r="A45" s="2">
        <v>45544</v>
      </c>
      <c r="B45" s="1" t="s">
        <v>11</v>
      </c>
      <c r="C45">
        <v>912</v>
      </c>
      <c r="D45">
        <v>275</v>
      </c>
      <c r="E45">
        <v>368454</v>
      </c>
      <c r="F45">
        <v>6.03</v>
      </c>
      <c r="G45">
        <v>9195</v>
      </c>
      <c r="H45">
        <f>Engagement_Summary[[#This Row],[New_Followers]]-Engagement_Summary[[#This Row],[Unfollows]]</f>
        <v>637</v>
      </c>
      <c r="I45">
        <f t="shared" si="1"/>
        <v>952.5</v>
      </c>
    </row>
    <row r="46" spans="1:9" x14ac:dyDescent="0.25">
      <c r="A46" s="2">
        <v>45544</v>
      </c>
      <c r="B46" s="1" t="s">
        <v>17</v>
      </c>
      <c r="C46">
        <v>1430</v>
      </c>
      <c r="D46">
        <v>162</v>
      </c>
      <c r="E46">
        <v>269082</v>
      </c>
      <c r="F46">
        <v>3.4</v>
      </c>
      <c r="G46">
        <v>18071</v>
      </c>
      <c r="H46">
        <f>Engagement_Summary[[#This Row],[New_Followers]]-Engagement_Summary[[#This Row],[Unfollows]]</f>
        <v>1268</v>
      </c>
      <c r="I46">
        <f t="shared" si="1"/>
        <v>1279.5</v>
      </c>
    </row>
    <row r="47" spans="1:9" x14ac:dyDescent="0.25">
      <c r="A47" s="2">
        <v>45551</v>
      </c>
      <c r="B47" s="1" t="s">
        <v>17</v>
      </c>
      <c r="C47">
        <v>1373</v>
      </c>
      <c r="D47">
        <v>82</v>
      </c>
      <c r="E47">
        <v>371015</v>
      </c>
      <c r="F47">
        <v>9.52</v>
      </c>
      <c r="G47">
        <v>20306</v>
      </c>
      <c r="H47">
        <f>Engagement_Summary[[#This Row],[New_Followers]]-Engagement_Summary[[#This Row],[Unfollows]]</f>
        <v>1291</v>
      </c>
      <c r="I47">
        <f t="shared" si="1"/>
        <v>845.5</v>
      </c>
    </row>
    <row r="48" spans="1:9" x14ac:dyDescent="0.25">
      <c r="A48" s="2">
        <v>45551</v>
      </c>
      <c r="B48" s="1" t="s">
        <v>12</v>
      </c>
      <c r="C48">
        <v>685</v>
      </c>
      <c r="D48">
        <v>285</v>
      </c>
      <c r="E48">
        <v>177452</v>
      </c>
      <c r="F48">
        <v>3.36</v>
      </c>
      <c r="G48">
        <v>21134</v>
      </c>
      <c r="H48">
        <f>Engagement_Summary[[#This Row],[New_Followers]]-Engagement_Summary[[#This Row],[Unfollows]]</f>
        <v>400</v>
      </c>
      <c r="I48">
        <f t="shared" si="1"/>
        <v>435.5</v>
      </c>
    </row>
    <row r="49" spans="1:9" x14ac:dyDescent="0.25">
      <c r="A49" s="2">
        <v>45551</v>
      </c>
      <c r="B49" s="1" t="s">
        <v>11</v>
      </c>
      <c r="C49">
        <v>681</v>
      </c>
      <c r="D49">
        <v>210</v>
      </c>
      <c r="E49">
        <v>248581</v>
      </c>
      <c r="F49">
        <v>8.76</v>
      </c>
      <c r="G49">
        <v>9567</v>
      </c>
      <c r="H49">
        <f>Engagement_Summary[[#This Row],[New_Followers]]-Engagement_Summary[[#This Row],[Unfollows]]</f>
        <v>471</v>
      </c>
      <c r="I49">
        <f t="shared" si="1"/>
        <v>472.5</v>
      </c>
    </row>
    <row r="50" spans="1:9" x14ac:dyDescent="0.25">
      <c r="A50" s="2">
        <v>45558</v>
      </c>
      <c r="B50" s="1" t="s">
        <v>12</v>
      </c>
      <c r="C50">
        <v>769</v>
      </c>
      <c r="D50">
        <v>295</v>
      </c>
      <c r="E50">
        <v>344771</v>
      </c>
      <c r="F50">
        <v>8.06</v>
      </c>
      <c r="G50">
        <v>23963</v>
      </c>
      <c r="H50">
        <f>Engagement_Summary[[#This Row],[New_Followers]]-Engagement_Summary[[#This Row],[Unfollows]]</f>
        <v>474</v>
      </c>
      <c r="I50">
        <f t="shared" si="1"/>
        <v>836</v>
      </c>
    </row>
    <row r="51" spans="1:9" x14ac:dyDescent="0.25">
      <c r="A51" s="2">
        <v>45558</v>
      </c>
      <c r="B51" s="1" t="s">
        <v>17</v>
      </c>
      <c r="C51">
        <v>1437</v>
      </c>
      <c r="D51">
        <v>239</v>
      </c>
      <c r="E51">
        <v>362441</v>
      </c>
      <c r="F51">
        <v>5.57</v>
      </c>
      <c r="G51">
        <v>10253</v>
      </c>
      <c r="H51">
        <f>Engagement_Summary[[#This Row],[New_Followers]]-Engagement_Summary[[#This Row],[Unfollows]]</f>
        <v>1198</v>
      </c>
      <c r="I51">
        <f t="shared" si="1"/>
        <v>1155.5</v>
      </c>
    </row>
    <row r="52" spans="1:9" x14ac:dyDescent="0.25">
      <c r="A52" s="2">
        <v>45558</v>
      </c>
      <c r="B52" s="1" t="s">
        <v>11</v>
      </c>
      <c r="C52">
        <v>1290</v>
      </c>
      <c r="D52">
        <v>177</v>
      </c>
      <c r="E52">
        <v>80745</v>
      </c>
      <c r="F52">
        <v>9.2200000000000006</v>
      </c>
      <c r="G52">
        <v>26872</v>
      </c>
      <c r="H52">
        <f>Engagement_Summary[[#This Row],[New_Followers]]-Engagement_Summary[[#This Row],[Unfollows]]</f>
        <v>1113</v>
      </c>
      <c r="I52">
        <f t="shared" si="1"/>
        <v>1122.5</v>
      </c>
    </row>
    <row r="53" spans="1:9" x14ac:dyDescent="0.25">
      <c r="A53" s="2">
        <v>45565</v>
      </c>
      <c r="B53" s="1" t="s">
        <v>11</v>
      </c>
      <c r="C53">
        <v>1416</v>
      </c>
      <c r="D53">
        <v>284</v>
      </c>
      <c r="E53">
        <v>374952</v>
      </c>
      <c r="F53">
        <v>3.45</v>
      </c>
      <c r="G53">
        <v>11335</v>
      </c>
      <c r="H53">
        <f>Engagement_Summary[[#This Row],[New_Followers]]-Engagement_Summary[[#This Row],[Unfollows]]</f>
        <v>1132</v>
      </c>
      <c r="I53">
        <f t="shared" si="1"/>
        <v>988</v>
      </c>
    </row>
    <row r="54" spans="1:9" x14ac:dyDescent="0.25">
      <c r="A54" s="2">
        <v>45565</v>
      </c>
      <c r="B54" s="1" t="s">
        <v>17</v>
      </c>
      <c r="C54">
        <v>998</v>
      </c>
      <c r="D54">
        <v>154</v>
      </c>
      <c r="E54">
        <v>179781</v>
      </c>
      <c r="F54">
        <v>9.58</v>
      </c>
      <c r="G54">
        <v>12115</v>
      </c>
      <c r="H54">
        <f>Engagement_Summary[[#This Row],[New_Followers]]-Engagement_Summary[[#This Row],[Unfollows]]</f>
        <v>844</v>
      </c>
      <c r="I54">
        <f t="shared" si="1"/>
        <v>1009.5</v>
      </c>
    </row>
    <row r="55" spans="1:9" x14ac:dyDescent="0.25">
      <c r="A55" s="2">
        <v>45565</v>
      </c>
      <c r="B55" s="1" t="s">
        <v>12</v>
      </c>
      <c r="C55">
        <v>1421</v>
      </c>
      <c r="D55">
        <v>246</v>
      </c>
      <c r="E55">
        <v>358581</v>
      </c>
      <c r="F55">
        <v>8.8800000000000008</v>
      </c>
      <c r="G55">
        <v>24358</v>
      </c>
      <c r="H55">
        <f>Engagement_Summary[[#This Row],[New_Followers]]-Engagement_Summary[[#This Row],[Unfollows]]</f>
        <v>1175</v>
      </c>
      <c r="I55">
        <f t="shared" si="1"/>
        <v>867</v>
      </c>
    </row>
    <row r="56" spans="1:9" x14ac:dyDescent="0.25">
      <c r="A56" s="2">
        <v>45572</v>
      </c>
      <c r="B56" s="1" t="s">
        <v>11</v>
      </c>
      <c r="C56">
        <v>764</v>
      </c>
      <c r="D56">
        <v>205</v>
      </c>
      <c r="E56">
        <v>319294</v>
      </c>
      <c r="F56">
        <v>6.23</v>
      </c>
      <c r="G56">
        <v>12181</v>
      </c>
      <c r="H56">
        <f>Engagement_Summary[[#This Row],[New_Followers]]-Engagement_Summary[[#This Row],[Unfollows]]</f>
        <v>559</v>
      </c>
      <c r="I56">
        <f t="shared" si="1"/>
        <v>556.5</v>
      </c>
    </row>
    <row r="57" spans="1:9" x14ac:dyDescent="0.25">
      <c r="A57" s="2">
        <v>45572</v>
      </c>
      <c r="B57" s="1" t="s">
        <v>17</v>
      </c>
      <c r="C57">
        <v>678</v>
      </c>
      <c r="D57">
        <v>124</v>
      </c>
      <c r="E57">
        <v>192022</v>
      </c>
      <c r="F57">
        <v>8.4499999999999993</v>
      </c>
      <c r="G57">
        <v>17729</v>
      </c>
      <c r="H57">
        <f>Engagement_Summary[[#This Row],[New_Followers]]-Engagement_Summary[[#This Row],[Unfollows]]</f>
        <v>554</v>
      </c>
      <c r="I57">
        <f t="shared" si="1"/>
        <v>889.5</v>
      </c>
    </row>
    <row r="58" spans="1:9" x14ac:dyDescent="0.25">
      <c r="A58" s="2">
        <v>45572</v>
      </c>
      <c r="B58" s="1" t="s">
        <v>12</v>
      </c>
      <c r="C58">
        <v>1328</v>
      </c>
      <c r="D58">
        <v>103</v>
      </c>
      <c r="E58">
        <v>151462</v>
      </c>
      <c r="F58">
        <v>8.4</v>
      </c>
      <c r="G58">
        <v>10881</v>
      </c>
      <c r="H58">
        <f>Engagement_Summary[[#This Row],[New_Followers]]-Engagement_Summary[[#This Row],[Unfollows]]</f>
        <v>1225</v>
      </c>
      <c r="I58">
        <f t="shared" si="1"/>
        <v>1058.5</v>
      </c>
    </row>
    <row r="59" spans="1:9" x14ac:dyDescent="0.25">
      <c r="A59" s="2">
        <v>45579</v>
      </c>
      <c r="B59" s="1" t="s">
        <v>11</v>
      </c>
      <c r="C59">
        <v>1161</v>
      </c>
      <c r="D59">
        <v>269</v>
      </c>
      <c r="E59">
        <v>188193</v>
      </c>
      <c r="F59">
        <v>7.34</v>
      </c>
      <c r="G59">
        <v>18576</v>
      </c>
      <c r="H59">
        <f>Engagement_Summary[[#This Row],[New_Followers]]-Engagement_Summary[[#This Row],[Unfollows]]</f>
        <v>892</v>
      </c>
      <c r="I59">
        <f t="shared" si="1"/>
        <v>714</v>
      </c>
    </row>
    <row r="60" spans="1:9" x14ac:dyDescent="0.25">
      <c r="A60" s="2">
        <v>45579</v>
      </c>
      <c r="B60" s="1" t="s">
        <v>17</v>
      </c>
      <c r="C60">
        <v>588</v>
      </c>
      <c r="D60">
        <v>52</v>
      </c>
      <c r="E60">
        <v>292040</v>
      </c>
      <c r="F60">
        <v>8.14</v>
      </c>
      <c r="G60">
        <v>9383</v>
      </c>
      <c r="H60">
        <f>Engagement_Summary[[#This Row],[New_Followers]]-Engagement_Summary[[#This Row],[Unfollows]]</f>
        <v>536</v>
      </c>
      <c r="I60">
        <f t="shared" si="1"/>
        <v>889</v>
      </c>
    </row>
    <row r="61" spans="1:9" x14ac:dyDescent="0.25">
      <c r="A61" s="2">
        <v>45579</v>
      </c>
      <c r="B61" s="1" t="s">
        <v>12</v>
      </c>
      <c r="C61">
        <v>1457</v>
      </c>
      <c r="D61">
        <v>215</v>
      </c>
      <c r="E61">
        <v>325325</v>
      </c>
      <c r="F61">
        <v>9.58</v>
      </c>
      <c r="G61">
        <v>14178</v>
      </c>
      <c r="H61">
        <f>Engagement_Summary[[#This Row],[New_Followers]]-Engagement_Summary[[#This Row],[Unfollows]]</f>
        <v>1242</v>
      </c>
      <c r="I61">
        <f t="shared" si="1"/>
        <v>1162</v>
      </c>
    </row>
    <row r="62" spans="1:9" x14ac:dyDescent="0.25">
      <c r="A62" s="2">
        <v>45586</v>
      </c>
      <c r="B62" s="1" t="s">
        <v>12</v>
      </c>
      <c r="C62">
        <v>1237</v>
      </c>
      <c r="D62">
        <v>155</v>
      </c>
      <c r="E62">
        <v>149916</v>
      </c>
      <c r="F62">
        <v>4.4800000000000004</v>
      </c>
      <c r="G62">
        <v>16921</v>
      </c>
      <c r="H62">
        <f>Engagement_Summary[[#This Row],[New_Followers]]-Engagement_Summary[[#This Row],[Unfollows]]</f>
        <v>1082</v>
      </c>
      <c r="I62">
        <f t="shared" si="1"/>
        <v>922</v>
      </c>
    </row>
    <row r="63" spans="1:9" x14ac:dyDescent="0.25">
      <c r="A63" s="2">
        <v>45586</v>
      </c>
      <c r="B63" s="1" t="s">
        <v>17</v>
      </c>
      <c r="C63">
        <v>886</v>
      </c>
      <c r="D63">
        <v>124</v>
      </c>
      <c r="E63">
        <v>141161</v>
      </c>
      <c r="F63">
        <v>8.19</v>
      </c>
      <c r="G63">
        <v>14215</v>
      </c>
      <c r="H63">
        <f>Engagement_Summary[[#This Row],[New_Followers]]-Engagement_Summary[[#This Row],[Unfollows]]</f>
        <v>762</v>
      </c>
      <c r="I63">
        <f t="shared" si="1"/>
        <v>855</v>
      </c>
    </row>
    <row r="64" spans="1:9" x14ac:dyDescent="0.25">
      <c r="A64" s="2">
        <v>45586</v>
      </c>
      <c r="B64" s="1" t="s">
        <v>11</v>
      </c>
      <c r="C64">
        <v>1190</v>
      </c>
      <c r="D64">
        <v>242</v>
      </c>
      <c r="E64">
        <v>86849</v>
      </c>
      <c r="F64">
        <v>8.06</v>
      </c>
      <c r="G64">
        <v>21254</v>
      </c>
      <c r="H64">
        <f>Engagement_Summary[[#This Row],[New_Followers]]-Engagement_Summary[[#This Row],[Unfollows]]</f>
        <v>948</v>
      </c>
      <c r="I64">
        <f t="shared" si="1"/>
        <v>1061</v>
      </c>
    </row>
    <row r="65" spans="1:9" x14ac:dyDescent="0.25">
      <c r="A65" s="2">
        <v>45593</v>
      </c>
      <c r="B65" s="1" t="s">
        <v>11</v>
      </c>
      <c r="C65">
        <v>1435</v>
      </c>
      <c r="D65">
        <v>261</v>
      </c>
      <c r="E65">
        <v>308533</v>
      </c>
      <c r="F65">
        <v>4.5199999999999996</v>
      </c>
      <c r="G65">
        <v>25130</v>
      </c>
      <c r="H65">
        <f>Engagement_Summary[[#This Row],[New_Followers]]-Engagement_Summary[[#This Row],[Unfollows]]</f>
        <v>1174</v>
      </c>
      <c r="I65">
        <f t="shared" si="1"/>
        <v>819</v>
      </c>
    </row>
    <row r="66" spans="1:9" x14ac:dyDescent="0.25">
      <c r="A66" s="2">
        <v>45593</v>
      </c>
      <c r="B66" s="1" t="s">
        <v>17</v>
      </c>
      <c r="C66">
        <v>746</v>
      </c>
      <c r="D66">
        <v>282</v>
      </c>
      <c r="E66">
        <v>293894</v>
      </c>
      <c r="F66">
        <v>5.42</v>
      </c>
      <c r="G66">
        <v>25537</v>
      </c>
      <c r="H66">
        <f>Engagement_Summary[[#This Row],[New_Followers]]-Engagement_Summary[[#This Row],[Unfollows]]</f>
        <v>464</v>
      </c>
      <c r="I66">
        <f t="shared" si="1"/>
        <v>503.5</v>
      </c>
    </row>
    <row r="67" spans="1:9" x14ac:dyDescent="0.25">
      <c r="A67" s="2">
        <v>45593</v>
      </c>
      <c r="B67" s="1" t="s">
        <v>12</v>
      </c>
      <c r="C67">
        <v>759</v>
      </c>
      <c r="D67">
        <v>216</v>
      </c>
      <c r="E67">
        <v>147656</v>
      </c>
      <c r="F67">
        <v>4.08</v>
      </c>
      <c r="G67">
        <v>24943</v>
      </c>
      <c r="H67">
        <f>Engagement_Summary[[#This Row],[New_Followers]]-Engagement_Summary[[#This Row],[Unfollows]]</f>
        <v>543</v>
      </c>
      <c r="I67">
        <f t="shared" ref="I67:I98" si="2">AVERAGE(H67:H68)</f>
        <v>872.5</v>
      </c>
    </row>
    <row r="68" spans="1:9" x14ac:dyDescent="0.25">
      <c r="A68" s="2">
        <v>45600</v>
      </c>
      <c r="B68" s="1" t="s">
        <v>11</v>
      </c>
      <c r="C68">
        <v>1437</v>
      </c>
      <c r="D68">
        <v>235</v>
      </c>
      <c r="E68">
        <v>326791</v>
      </c>
      <c r="F68">
        <v>4.0599999999999996</v>
      </c>
      <c r="G68">
        <v>14563</v>
      </c>
      <c r="H68">
        <f>Engagement_Summary[[#This Row],[New_Followers]]-Engagement_Summary[[#This Row],[Unfollows]]</f>
        <v>1202</v>
      </c>
      <c r="I68">
        <f t="shared" si="2"/>
        <v>1296</v>
      </c>
    </row>
    <row r="69" spans="1:9" x14ac:dyDescent="0.25">
      <c r="A69" s="2">
        <v>45600</v>
      </c>
      <c r="B69" s="1" t="s">
        <v>17</v>
      </c>
      <c r="C69">
        <v>1463</v>
      </c>
      <c r="D69">
        <v>73</v>
      </c>
      <c r="E69">
        <v>348877</v>
      </c>
      <c r="F69">
        <v>9.91</v>
      </c>
      <c r="G69">
        <v>26273</v>
      </c>
      <c r="H69">
        <f>Engagement_Summary[[#This Row],[New_Followers]]-Engagement_Summary[[#This Row],[Unfollows]]</f>
        <v>1390</v>
      </c>
      <c r="I69">
        <f t="shared" si="2"/>
        <v>1187</v>
      </c>
    </row>
    <row r="70" spans="1:9" x14ac:dyDescent="0.25">
      <c r="A70" s="2">
        <v>45600</v>
      </c>
      <c r="B70" s="1" t="s">
        <v>12</v>
      </c>
      <c r="C70">
        <v>1208</v>
      </c>
      <c r="D70">
        <v>224</v>
      </c>
      <c r="E70">
        <v>122730</v>
      </c>
      <c r="F70">
        <v>8.7200000000000006</v>
      </c>
      <c r="G70">
        <v>10858</v>
      </c>
      <c r="H70">
        <f>Engagement_Summary[[#This Row],[New_Followers]]-Engagement_Summary[[#This Row],[Unfollows]]</f>
        <v>984</v>
      </c>
      <c r="I70">
        <f t="shared" si="2"/>
        <v>1094</v>
      </c>
    </row>
    <row r="71" spans="1:9" x14ac:dyDescent="0.25">
      <c r="A71" s="2">
        <v>45607</v>
      </c>
      <c r="B71" s="1" t="s">
        <v>11</v>
      </c>
      <c r="C71">
        <v>1391</v>
      </c>
      <c r="D71">
        <v>187</v>
      </c>
      <c r="E71">
        <v>306508</v>
      </c>
      <c r="F71">
        <v>8.3800000000000008</v>
      </c>
      <c r="G71">
        <v>25038</v>
      </c>
      <c r="H71">
        <f>Engagement_Summary[[#This Row],[New_Followers]]-Engagement_Summary[[#This Row],[Unfollows]]</f>
        <v>1204</v>
      </c>
      <c r="I71">
        <f t="shared" si="2"/>
        <v>868</v>
      </c>
    </row>
    <row r="72" spans="1:9" x14ac:dyDescent="0.25">
      <c r="A72" s="2">
        <v>45607</v>
      </c>
      <c r="B72" s="1" t="s">
        <v>17</v>
      </c>
      <c r="C72">
        <v>655</v>
      </c>
      <c r="D72">
        <v>123</v>
      </c>
      <c r="E72">
        <v>202472</v>
      </c>
      <c r="F72">
        <v>7.56</v>
      </c>
      <c r="G72">
        <v>9092</v>
      </c>
      <c r="H72">
        <f>Engagement_Summary[[#This Row],[New_Followers]]-Engagement_Summary[[#This Row],[Unfollows]]</f>
        <v>532</v>
      </c>
      <c r="I72">
        <f t="shared" si="2"/>
        <v>795</v>
      </c>
    </row>
    <row r="73" spans="1:9" x14ac:dyDescent="0.25">
      <c r="A73" s="2">
        <v>45607</v>
      </c>
      <c r="B73" s="1" t="s">
        <v>12</v>
      </c>
      <c r="C73">
        <v>1148</v>
      </c>
      <c r="D73">
        <v>90</v>
      </c>
      <c r="E73">
        <v>227249</v>
      </c>
      <c r="F73">
        <v>7.24</v>
      </c>
      <c r="G73">
        <v>17662</v>
      </c>
      <c r="H73">
        <f>Engagement_Summary[[#This Row],[New_Followers]]-Engagement_Summary[[#This Row],[Unfollows]]</f>
        <v>1058</v>
      </c>
      <c r="I73">
        <f t="shared" si="2"/>
        <v>817.5</v>
      </c>
    </row>
    <row r="74" spans="1:9" x14ac:dyDescent="0.25">
      <c r="A74" s="2">
        <v>45614</v>
      </c>
      <c r="B74" s="1" t="s">
        <v>17</v>
      </c>
      <c r="C74">
        <v>791</v>
      </c>
      <c r="D74">
        <v>214</v>
      </c>
      <c r="E74">
        <v>114738</v>
      </c>
      <c r="F74">
        <v>6.62</v>
      </c>
      <c r="G74">
        <v>25347</v>
      </c>
      <c r="H74">
        <f>Engagement_Summary[[#This Row],[New_Followers]]-Engagement_Summary[[#This Row],[Unfollows]]</f>
        <v>577</v>
      </c>
      <c r="I74">
        <f t="shared" si="2"/>
        <v>629.5</v>
      </c>
    </row>
    <row r="75" spans="1:9" x14ac:dyDescent="0.25">
      <c r="A75" s="2">
        <v>45614</v>
      </c>
      <c r="B75" s="1" t="s">
        <v>12</v>
      </c>
      <c r="C75">
        <v>793</v>
      </c>
      <c r="D75">
        <v>111</v>
      </c>
      <c r="E75">
        <v>333500</v>
      </c>
      <c r="F75">
        <v>6.36</v>
      </c>
      <c r="G75">
        <v>8910</v>
      </c>
      <c r="H75">
        <f>Engagement_Summary[[#This Row],[New_Followers]]-Engagement_Summary[[#This Row],[Unfollows]]</f>
        <v>682</v>
      </c>
      <c r="I75">
        <f t="shared" si="2"/>
        <v>679</v>
      </c>
    </row>
    <row r="76" spans="1:9" x14ac:dyDescent="0.25">
      <c r="A76" s="2">
        <v>45614</v>
      </c>
      <c r="B76" s="1" t="s">
        <v>11</v>
      </c>
      <c r="C76">
        <v>946</v>
      </c>
      <c r="D76">
        <v>270</v>
      </c>
      <c r="E76">
        <v>246567</v>
      </c>
      <c r="F76">
        <v>4.53</v>
      </c>
      <c r="G76">
        <v>5924</v>
      </c>
      <c r="H76">
        <f>Engagement_Summary[[#This Row],[New_Followers]]-Engagement_Summary[[#This Row],[Unfollows]]</f>
        <v>676</v>
      </c>
      <c r="I76">
        <f t="shared" si="2"/>
        <v>563</v>
      </c>
    </row>
    <row r="77" spans="1:9" x14ac:dyDescent="0.25">
      <c r="A77" s="2">
        <v>45621</v>
      </c>
      <c r="B77" s="1" t="s">
        <v>11</v>
      </c>
      <c r="C77">
        <v>663</v>
      </c>
      <c r="D77">
        <v>213</v>
      </c>
      <c r="E77">
        <v>352677</v>
      </c>
      <c r="F77">
        <v>9</v>
      </c>
      <c r="G77">
        <v>20438</v>
      </c>
      <c r="H77">
        <f>Engagement_Summary[[#This Row],[New_Followers]]-Engagement_Summary[[#This Row],[Unfollows]]</f>
        <v>450</v>
      </c>
      <c r="I77">
        <f t="shared" si="2"/>
        <v>566.5</v>
      </c>
    </row>
    <row r="78" spans="1:9" x14ac:dyDescent="0.25">
      <c r="A78" s="2">
        <v>45621</v>
      </c>
      <c r="B78" s="1" t="s">
        <v>17</v>
      </c>
      <c r="C78">
        <v>954</v>
      </c>
      <c r="D78">
        <v>271</v>
      </c>
      <c r="E78">
        <v>160936</v>
      </c>
      <c r="F78">
        <v>8.83</v>
      </c>
      <c r="G78">
        <v>8760</v>
      </c>
      <c r="H78">
        <f>Engagement_Summary[[#This Row],[New_Followers]]-Engagement_Summary[[#This Row],[Unfollows]]</f>
        <v>683</v>
      </c>
      <c r="I78">
        <f t="shared" si="2"/>
        <v>918.5</v>
      </c>
    </row>
    <row r="79" spans="1:9" x14ac:dyDescent="0.25">
      <c r="A79" s="2">
        <v>45621</v>
      </c>
      <c r="B79" s="1" t="s">
        <v>12</v>
      </c>
      <c r="C79">
        <v>1313</v>
      </c>
      <c r="D79">
        <v>159</v>
      </c>
      <c r="E79">
        <v>197183</v>
      </c>
      <c r="F79">
        <v>9.7100000000000009</v>
      </c>
      <c r="G79">
        <v>6625</v>
      </c>
      <c r="H79">
        <f>Engagement_Summary[[#This Row],[New_Followers]]-Engagement_Summary[[#This Row],[Unfollows]]</f>
        <v>1154</v>
      </c>
      <c r="I79">
        <f t="shared" si="2"/>
        <v>981</v>
      </c>
    </row>
    <row r="80" spans="1:9" x14ac:dyDescent="0.25">
      <c r="A80" s="2">
        <v>45628</v>
      </c>
      <c r="B80" s="1" t="s">
        <v>11</v>
      </c>
      <c r="C80">
        <v>895</v>
      </c>
      <c r="D80">
        <v>87</v>
      </c>
      <c r="E80">
        <v>171271</v>
      </c>
      <c r="F80">
        <v>6.68</v>
      </c>
      <c r="G80">
        <v>23329</v>
      </c>
      <c r="H80">
        <f>Engagement_Summary[[#This Row],[New_Followers]]-Engagement_Summary[[#This Row],[Unfollows]]</f>
        <v>808</v>
      </c>
      <c r="I80">
        <f t="shared" si="2"/>
        <v>839.5</v>
      </c>
    </row>
    <row r="81" spans="1:9" x14ac:dyDescent="0.25">
      <c r="A81" s="2">
        <v>45628</v>
      </c>
      <c r="B81" s="1" t="s">
        <v>17</v>
      </c>
      <c r="C81">
        <v>1027</v>
      </c>
      <c r="D81">
        <v>156</v>
      </c>
      <c r="E81">
        <v>111293</v>
      </c>
      <c r="F81">
        <v>5.51</v>
      </c>
      <c r="G81">
        <v>7299</v>
      </c>
      <c r="H81">
        <f>Engagement_Summary[[#This Row],[New_Followers]]-Engagement_Summary[[#This Row],[Unfollows]]</f>
        <v>871</v>
      </c>
      <c r="I81">
        <f t="shared" si="2"/>
        <v>787.5</v>
      </c>
    </row>
    <row r="82" spans="1:9" x14ac:dyDescent="0.25">
      <c r="A82" s="2">
        <v>45628</v>
      </c>
      <c r="B82" s="1" t="s">
        <v>12</v>
      </c>
      <c r="C82">
        <v>990</v>
      </c>
      <c r="D82">
        <v>286</v>
      </c>
      <c r="E82">
        <v>351493</v>
      </c>
      <c r="F82">
        <v>7.97</v>
      </c>
      <c r="G82">
        <v>14496</v>
      </c>
      <c r="H82">
        <f>Engagement_Summary[[#This Row],[New_Followers]]-Engagement_Summary[[#This Row],[Unfollows]]</f>
        <v>704</v>
      </c>
      <c r="I82">
        <f t="shared" si="2"/>
        <v>657.5</v>
      </c>
    </row>
    <row r="83" spans="1:9" x14ac:dyDescent="0.25">
      <c r="A83" s="2">
        <v>45635</v>
      </c>
      <c r="B83" s="1" t="s">
        <v>11</v>
      </c>
      <c r="C83">
        <v>875</v>
      </c>
      <c r="D83">
        <v>264</v>
      </c>
      <c r="E83">
        <v>345631</v>
      </c>
      <c r="F83">
        <v>9.18</v>
      </c>
      <c r="G83">
        <v>25703</v>
      </c>
      <c r="H83">
        <f>Engagement_Summary[[#This Row],[New_Followers]]-Engagement_Summary[[#This Row],[Unfollows]]</f>
        <v>611</v>
      </c>
      <c r="I83">
        <f t="shared" si="2"/>
        <v>508</v>
      </c>
    </row>
    <row r="84" spans="1:9" x14ac:dyDescent="0.25">
      <c r="A84" s="2">
        <v>45635</v>
      </c>
      <c r="B84" s="1" t="s">
        <v>17</v>
      </c>
      <c r="C84">
        <v>599</v>
      </c>
      <c r="D84">
        <v>194</v>
      </c>
      <c r="E84">
        <v>105622</v>
      </c>
      <c r="F84">
        <v>6.44</v>
      </c>
      <c r="G84">
        <v>15108</v>
      </c>
      <c r="H84">
        <f>Engagement_Summary[[#This Row],[New_Followers]]-Engagement_Summary[[#This Row],[Unfollows]]</f>
        <v>405</v>
      </c>
      <c r="I84">
        <f t="shared" si="2"/>
        <v>393.5</v>
      </c>
    </row>
    <row r="85" spans="1:9" x14ac:dyDescent="0.25">
      <c r="A85" s="2">
        <v>45635</v>
      </c>
      <c r="B85" s="1" t="s">
        <v>12</v>
      </c>
      <c r="C85">
        <v>630</v>
      </c>
      <c r="D85">
        <v>248</v>
      </c>
      <c r="E85">
        <v>119054</v>
      </c>
      <c r="F85">
        <v>5.0199999999999996</v>
      </c>
      <c r="G85">
        <v>18867</v>
      </c>
      <c r="H85">
        <f>Engagement_Summary[[#This Row],[New_Followers]]-Engagement_Summary[[#This Row],[Unfollows]]</f>
        <v>382</v>
      </c>
      <c r="I85">
        <f t="shared" si="2"/>
        <v>740.5</v>
      </c>
    </row>
    <row r="86" spans="1:9" x14ac:dyDescent="0.25">
      <c r="A86" s="2">
        <v>45642</v>
      </c>
      <c r="B86" s="1" t="s">
        <v>12</v>
      </c>
      <c r="C86">
        <v>1182</v>
      </c>
      <c r="D86">
        <v>83</v>
      </c>
      <c r="E86">
        <v>140300</v>
      </c>
      <c r="F86">
        <v>3.27</v>
      </c>
      <c r="G86">
        <v>21079</v>
      </c>
      <c r="H86">
        <f>Engagement_Summary[[#This Row],[New_Followers]]-Engagement_Summary[[#This Row],[Unfollows]]</f>
        <v>1099</v>
      </c>
      <c r="I86">
        <f t="shared" si="2"/>
        <v>788</v>
      </c>
    </row>
    <row r="87" spans="1:9" x14ac:dyDescent="0.25">
      <c r="A87" s="2">
        <v>45642</v>
      </c>
      <c r="B87" s="1" t="s">
        <v>17</v>
      </c>
      <c r="C87">
        <v>632</v>
      </c>
      <c r="D87">
        <v>155</v>
      </c>
      <c r="E87">
        <v>170432</v>
      </c>
      <c r="F87">
        <v>9.17</v>
      </c>
      <c r="G87">
        <v>12840</v>
      </c>
      <c r="H87">
        <f>Engagement_Summary[[#This Row],[New_Followers]]-Engagement_Summary[[#This Row],[Unfollows]]</f>
        <v>477</v>
      </c>
      <c r="I87">
        <f t="shared" si="2"/>
        <v>797</v>
      </c>
    </row>
    <row r="88" spans="1:9" x14ac:dyDescent="0.25">
      <c r="A88" s="2">
        <v>45642</v>
      </c>
      <c r="B88" s="1" t="s">
        <v>11</v>
      </c>
      <c r="C88">
        <v>1350</v>
      </c>
      <c r="D88">
        <v>233</v>
      </c>
      <c r="E88">
        <v>171670</v>
      </c>
      <c r="F88">
        <v>4.53</v>
      </c>
      <c r="G88">
        <v>17574</v>
      </c>
      <c r="H88">
        <f>Engagement_Summary[[#This Row],[New_Followers]]-Engagement_Summary[[#This Row],[Unfollows]]</f>
        <v>1117</v>
      </c>
      <c r="I88">
        <f t="shared" si="2"/>
        <v>842</v>
      </c>
    </row>
    <row r="89" spans="1:9" x14ac:dyDescent="0.25">
      <c r="A89" s="2">
        <v>45649</v>
      </c>
      <c r="B89" s="1" t="s">
        <v>11</v>
      </c>
      <c r="C89">
        <v>661</v>
      </c>
      <c r="D89">
        <v>94</v>
      </c>
      <c r="E89">
        <v>116538</v>
      </c>
      <c r="F89">
        <v>5.31</v>
      </c>
      <c r="G89">
        <v>23486</v>
      </c>
      <c r="H89">
        <f>Engagement_Summary[[#This Row],[New_Followers]]-Engagement_Summary[[#This Row],[Unfollows]]</f>
        <v>567</v>
      </c>
      <c r="I89">
        <f t="shared" si="2"/>
        <v>850</v>
      </c>
    </row>
    <row r="90" spans="1:9" x14ac:dyDescent="0.25">
      <c r="A90" s="2">
        <v>45649</v>
      </c>
      <c r="B90" s="1" t="s">
        <v>17</v>
      </c>
      <c r="C90">
        <v>1360</v>
      </c>
      <c r="D90">
        <v>227</v>
      </c>
      <c r="E90">
        <v>176902</v>
      </c>
      <c r="F90">
        <v>6.03</v>
      </c>
      <c r="G90">
        <v>5960</v>
      </c>
      <c r="H90">
        <f>Engagement_Summary[[#This Row],[New_Followers]]-Engagement_Summary[[#This Row],[Unfollows]]</f>
        <v>1133</v>
      </c>
      <c r="I90">
        <f t="shared" si="2"/>
        <v>991.5</v>
      </c>
    </row>
    <row r="91" spans="1:9" x14ac:dyDescent="0.25">
      <c r="A91" s="2">
        <v>45649</v>
      </c>
      <c r="B91" s="1" t="s">
        <v>12</v>
      </c>
      <c r="C91">
        <v>935</v>
      </c>
      <c r="D91">
        <v>85</v>
      </c>
      <c r="E91">
        <v>326821</v>
      </c>
      <c r="F91">
        <v>8.89</v>
      </c>
      <c r="G91">
        <v>13301</v>
      </c>
      <c r="H91">
        <f>Engagement_Summary[[#This Row],[New_Followers]]-Engagement_Summary[[#This Row],[Unfollows]]</f>
        <v>850</v>
      </c>
      <c r="I91">
        <f t="shared" si="2"/>
        <v>631.5</v>
      </c>
    </row>
    <row r="92" spans="1:9" x14ac:dyDescent="0.25">
      <c r="A92" s="2">
        <v>45656</v>
      </c>
      <c r="B92" s="1" t="s">
        <v>11</v>
      </c>
      <c r="C92">
        <v>664</v>
      </c>
      <c r="D92">
        <v>251</v>
      </c>
      <c r="E92">
        <v>240598</v>
      </c>
      <c r="F92">
        <v>4.79</v>
      </c>
      <c r="G92">
        <v>10563</v>
      </c>
      <c r="H92">
        <f>Engagement_Summary[[#This Row],[New_Followers]]-Engagement_Summary[[#This Row],[Unfollows]]</f>
        <v>413</v>
      </c>
      <c r="I92">
        <f t="shared" si="2"/>
        <v>900</v>
      </c>
    </row>
    <row r="93" spans="1:9" x14ac:dyDescent="0.25">
      <c r="A93" s="2">
        <v>45656</v>
      </c>
      <c r="B93" s="1" t="s">
        <v>17</v>
      </c>
      <c r="C93">
        <v>1490</v>
      </c>
      <c r="D93">
        <v>103</v>
      </c>
      <c r="E93">
        <v>373274</v>
      </c>
      <c r="F93">
        <v>4.8</v>
      </c>
      <c r="G93">
        <v>19949</v>
      </c>
      <c r="H93">
        <f>Engagement_Summary[[#This Row],[New_Followers]]-Engagement_Summary[[#This Row],[Unfollows]]</f>
        <v>1387</v>
      </c>
      <c r="I93">
        <f t="shared" si="2"/>
        <v>962</v>
      </c>
    </row>
    <row r="94" spans="1:9" x14ac:dyDescent="0.25">
      <c r="A94" s="2">
        <v>45656</v>
      </c>
      <c r="B94" s="1" t="s">
        <v>12</v>
      </c>
      <c r="C94">
        <v>601</v>
      </c>
      <c r="D94">
        <v>64</v>
      </c>
      <c r="E94">
        <v>123272</v>
      </c>
      <c r="F94">
        <v>4.07</v>
      </c>
      <c r="G94">
        <v>14273</v>
      </c>
      <c r="H94">
        <f>Engagement_Summary[[#This Row],[New_Followers]]-Engagement_Summary[[#This Row],[Unfollows]]</f>
        <v>537</v>
      </c>
      <c r="I94">
        <f t="shared" si="2"/>
        <v>490</v>
      </c>
    </row>
    <row r="95" spans="1:9" x14ac:dyDescent="0.25">
      <c r="A95" s="2">
        <v>45663</v>
      </c>
      <c r="B95" s="1" t="s">
        <v>11</v>
      </c>
      <c r="C95">
        <v>613</v>
      </c>
      <c r="D95">
        <v>170</v>
      </c>
      <c r="E95">
        <v>139266</v>
      </c>
      <c r="F95">
        <v>6.06</v>
      </c>
      <c r="G95">
        <v>9247</v>
      </c>
      <c r="H95">
        <f>Engagement_Summary[[#This Row],[New_Followers]]-Engagement_Summary[[#This Row],[Unfollows]]</f>
        <v>443</v>
      </c>
      <c r="I95">
        <f t="shared" si="2"/>
        <v>863</v>
      </c>
    </row>
    <row r="96" spans="1:9" x14ac:dyDescent="0.25">
      <c r="A96" s="2">
        <v>45663</v>
      </c>
      <c r="B96" s="1" t="s">
        <v>17</v>
      </c>
      <c r="C96">
        <v>1340</v>
      </c>
      <c r="D96">
        <v>57</v>
      </c>
      <c r="E96">
        <v>155927</v>
      </c>
      <c r="F96">
        <v>7.79</v>
      </c>
      <c r="G96">
        <v>11972</v>
      </c>
      <c r="H96">
        <f>Engagement_Summary[[#This Row],[New_Followers]]-Engagement_Summary[[#This Row],[Unfollows]]</f>
        <v>1283</v>
      </c>
      <c r="I96">
        <f t="shared" si="2"/>
        <v>1004</v>
      </c>
    </row>
    <row r="97" spans="1:9" x14ac:dyDescent="0.25">
      <c r="A97" s="2">
        <v>45663</v>
      </c>
      <c r="B97" s="1" t="s">
        <v>12</v>
      </c>
      <c r="C97">
        <v>953</v>
      </c>
      <c r="D97">
        <v>228</v>
      </c>
      <c r="E97">
        <v>258398</v>
      </c>
      <c r="F97">
        <v>9.0500000000000007</v>
      </c>
      <c r="G97">
        <v>13314</v>
      </c>
      <c r="H97">
        <f>Engagement_Summary[[#This Row],[New_Followers]]-Engagement_Summary[[#This Row],[Unfollows]]</f>
        <v>725</v>
      </c>
      <c r="I97">
        <f t="shared" si="2"/>
        <v>1039.5</v>
      </c>
    </row>
    <row r="98" spans="1:9" x14ac:dyDescent="0.25">
      <c r="A98" s="2">
        <v>45670</v>
      </c>
      <c r="B98" s="1" t="s">
        <v>17</v>
      </c>
      <c r="C98">
        <v>1414</v>
      </c>
      <c r="D98">
        <v>60</v>
      </c>
      <c r="E98">
        <v>341856</v>
      </c>
      <c r="F98">
        <v>8.76</v>
      </c>
      <c r="G98">
        <v>6868</v>
      </c>
      <c r="H98">
        <f>Engagement_Summary[[#This Row],[New_Followers]]-Engagement_Summary[[#This Row],[Unfollows]]</f>
        <v>1354</v>
      </c>
      <c r="I98">
        <f t="shared" si="2"/>
        <v>937</v>
      </c>
    </row>
    <row r="99" spans="1:9" x14ac:dyDescent="0.25">
      <c r="A99" s="2">
        <v>45670</v>
      </c>
      <c r="B99" s="1" t="s">
        <v>12</v>
      </c>
      <c r="C99">
        <v>685</v>
      </c>
      <c r="D99">
        <v>165</v>
      </c>
      <c r="E99">
        <v>175860</v>
      </c>
      <c r="F99">
        <v>6.26</v>
      </c>
      <c r="G99">
        <v>6027</v>
      </c>
      <c r="H99">
        <f>Engagement_Summary[[#This Row],[New_Followers]]-Engagement_Summary[[#This Row],[Unfollows]]</f>
        <v>520</v>
      </c>
      <c r="I99">
        <f t="shared" ref="I99:I130" si="3">AVERAGE(H99:H100)</f>
        <v>493.5</v>
      </c>
    </row>
    <row r="100" spans="1:9" x14ac:dyDescent="0.25">
      <c r="A100" s="2">
        <v>45670</v>
      </c>
      <c r="B100" s="1" t="s">
        <v>11</v>
      </c>
      <c r="C100">
        <v>532</v>
      </c>
      <c r="D100">
        <v>65</v>
      </c>
      <c r="E100">
        <v>338561</v>
      </c>
      <c r="F100">
        <v>3.5</v>
      </c>
      <c r="G100">
        <v>14749</v>
      </c>
      <c r="H100">
        <f>Engagement_Summary[[#This Row],[New_Followers]]-Engagement_Summary[[#This Row],[Unfollows]]</f>
        <v>467</v>
      </c>
      <c r="I100">
        <f t="shared" si="3"/>
        <v>655.5</v>
      </c>
    </row>
    <row r="101" spans="1:9" x14ac:dyDescent="0.25">
      <c r="A101" s="2">
        <v>45677</v>
      </c>
      <c r="B101" s="1" t="s">
        <v>12</v>
      </c>
      <c r="C101">
        <v>1105</v>
      </c>
      <c r="D101">
        <v>261</v>
      </c>
      <c r="E101">
        <v>333851</v>
      </c>
      <c r="F101">
        <v>6.03</v>
      </c>
      <c r="G101">
        <v>11181</v>
      </c>
      <c r="H101">
        <f>Engagement_Summary[[#This Row],[New_Followers]]-Engagement_Summary[[#This Row],[Unfollows]]</f>
        <v>844</v>
      </c>
      <c r="I101">
        <f t="shared" si="3"/>
        <v>643</v>
      </c>
    </row>
    <row r="102" spans="1:9" x14ac:dyDescent="0.25">
      <c r="A102" s="2">
        <v>45677</v>
      </c>
      <c r="B102" s="1" t="s">
        <v>11</v>
      </c>
      <c r="C102">
        <v>601</v>
      </c>
      <c r="D102">
        <v>159</v>
      </c>
      <c r="E102">
        <v>327722</v>
      </c>
      <c r="F102">
        <v>3.33</v>
      </c>
      <c r="G102">
        <v>25267</v>
      </c>
      <c r="H102">
        <f>Engagement_Summary[[#This Row],[New_Followers]]-Engagement_Summary[[#This Row],[Unfollows]]</f>
        <v>442</v>
      </c>
      <c r="I102">
        <f t="shared" si="3"/>
        <v>494</v>
      </c>
    </row>
    <row r="103" spans="1:9" x14ac:dyDescent="0.25">
      <c r="A103" s="2">
        <v>45677</v>
      </c>
      <c r="B103" s="1" t="s">
        <v>17</v>
      </c>
      <c r="C103">
        <v>841</v>
      </c>
      <c r="D103">
        <v>295</v>
      </c>
      <c r="E103">
        <v>271638</v>
      </c>
      <c r="F103">
        <v>9.15</v>
      </c>
      <c r="G103">
        <v>5900</v>
      </c>
      <c r="H103">
        <f>Engagement_Summary[[#This Row],[New_Followers]]-Engagement_Summary[[#This Row],[Unfollows]]</f>
        <v>546</v>
      </c>
      <c r="I103">
        <f t="shared" si="3"/>
        <v>443.5</v>
      </c>
    </row>
    <row r="104" spans="1:9" x14ac:dyDescent="0.25">
      <c r="A104" s="2">
        <v>45684</v>
      </c>
      <c r="B104" s="1" t="s">
        <v>11</v>
      </c>
      <c r="C104">
        <v>566</v>
      </c>
      <c r="D104">
        <v>225</v>
      </c>
      <c r="E104">
        <v>368984</v>
      </c>
      <c r="F104">
        <v>9.82</v>
      </c>
      <c r="G104">
        <v>9592</v>
      </c>
      <c r="H104">
        <f>Engagement_Summary[[#This Row],[New_Followers]]-Engagement_Summary[[#This Row],[Unfollows]]</f>
        <v>341</v>
      </c>
      <c r="I104">
        <f t="shared" si="3"/>
        <v>605</v>
      </c>
    </row>
    <row r="105" spans="1:9" x14ac:dyDescent="0.25">
      <c r="A105" s="2">
        <v>45684</v>
      </c>
      <c r="B105" s="1" t="s">
        <v>17</v>
      </c>
      <c r="C105">
        <v>1149</v>
      </c>
      <c r="D105">
        <v>280</v>
      </c>
      <c r="E105">
        <v>167310</v>
      </c>
      <c r="F105">
        <v>3.7</v>
      </c>
      <c r="G105">
        <v>5291</v>
      </c>
      <c r="H105">
        <f>Engagement_Summary[[#This Row],[New_Followers]]-Engagement_Summary[[#This Row],[Unfollows]]</f>
        <v>869</v>
      </c>
      <c r="I105">
        <f t="shared" si="3"/>
        <v>793.5</v>
      </c>
    </row>
    <row r="106" spans="1:9" x14ac:dyDescent="0.25">
      <c r="A106" s="2">
        <v>45684</v>
      </c>
      <c r="B106" s="1" t="s">
        <v>12</v>
      </c>
      <c r="C106">
        <v>819</v>
      </c>
      <c r="D106">
        <v>101</v>
      </c>
      <c r="E106">
        <v>194811</v>
      </c>
      <c r="F106">
        <v>3.35</v>
      </c>
      <c r="G106">
        <v>22244</v>
      </c>
      <c r="H106">
        <f>Engagement_Summary[[#This Row],[New_Followers]]-Engagement_Summary[[#This Row],[Unfollows]]</f>
        <v>718</v>
      </c>
      <c r="I106">
        <f t="shared" si="3"/>
        <v>726.5</v>
      </c>
    </row>
    <row r="107" spans="1:9" x14ac:dyDescent="0.25">
      <c r="A107" s="2">
        <v>45691</v>
      </c>
      <c r="B107" s="1" t="s">
        <v>11</v>
      </c>
      <c r="C107">
        <v>795</v>
      </c>
      <c r="D107">
        <v>60</v>
      </c>
      <c r="E107">
        <v>314982</v>
      </c>
      <c r="F107">
        <v>7.31</v>
      </c>
      <c r="G107">
        <v>6824</v>
      </c>
      <c r="H107">
        <f>Engagement_Summary[[#This Row],[New_Followers]]-Engagement_Summary[[#This Row],[Unfollows]]</f>
        <v>735</v>
      </c>
      <c r="I107">
        <f t="shared" si="3"/>
        <v>629</v>
      </c>
    </row>
    <row r="108" spans="1:9" x14ac:dyDescent="0.25">
      <c r="A108" s="2">
        <v>45691</v>
      </c>
      <c r="B108" s="1" t="s">
        <v>17</v>
      </c>
      <c r="C108">
        <v>681</v>
      </c>
      <c r="D108">
        <v>158</v>
      </c>
      <c r="E108">
        <v>75960</v>
      </c>
      <c r="F108">
        <v>3.13</v>
      </c>
      <c r="G108">
        <v>24112</v>
      </c>
      <c r="H108">
        <f>Engagement_Summary[[#This Row],[New_Followers]]-Engagement_Summary[[#This Row],[Unfollows]]</f>
        <v>523</v>
      </c>
      <c r="I108">
        <f t="shared" si="3"/>
        <v>472.5</v>
      </c>
    </row>
    <row r="109" spans="1:9" x14ac:dyDescent="0.25">
      <c r="A109" s="2">
        <v>45691</v>
      </c>
      <c r="B109" s="1" t="s">
        <v>12</v>
      </c>
      <c r="C109">
        <v>534</v>
      </c>
      <c r="D109">
        <v>112</v>
      </c>
      <c r="E109">
        <v>360759</v>
      </c>
      <c r="F109">
        <v>4.8899999999999997</v>
      </c>
      <c r="G109">
        <v>25478</v>
      </c>
      <c r="H109">
        <f>Engagement_Summary[[#This Row],[New_Followers]]-Engagement_Summary[[#This Row],[Unfollows]]</f>
        <v>422</v>
      </c>
      <c r="I109">
        <f t="shared" si="3"/>
        <v>668.5</v>
      </c>
    </row>
    <row r="110" spans="1:9" x14ac:dyDescent="0.25">
      <c r="A110" s="2">
        <v>45698</v>
      </c>
      <c r="B110" s="1" t="s">
        <v>11</v>
      </c>
      <c r="C110">
        <v>1066</v>
      </c>
      <c r="D110">
        <v>151</v>
      </c>
      <c r="E110">
        <v>297090</v>
      </c>
      <c r="F110">
        <v>8.6300000000000008</v>
      </c>
      <c r="G110">
        <v>11235</v>
      </c>
      <c r="H110">
        <f>Engagement_Summary[[#This Row],[New_Followers]]-Engagement_Summary[[#This Row],[Unfollows]]</f>
        <v>915</v>
      </c>
      <c r="I110">
        <f t="shared" si="3"/>
        <v>1011.5</v>
      </c>
    </row>
    <row r="111" spans="1:9" x14ac:dyDescent="0.25">
      <c r="A111" s="2">
        <v>45698</v>
      </c>
      <c r="B111" s="1" t="s">
        <v>17</v>
      </c>
      <c r="C111">
        <v>1270</v>
      </c>
      <c r="D111">
        <v>162</v>
      </c>
      <c r="E111">
        <v>92040</v>
      </c>
      <c r="F111">
        <v>8.0299999999999994</v>
      </c>
      <c r="G111">
        <v>6120</v>
      </c>
      <c r="H111">
        <f>Engagement_Summary[[#This Row],[New_Followers]]-Engagement_Summary[[#This Row],[Unfollows]]</f>
        <v>1108</v>
      </c>
      <c r="I111">
        <f t="shared" si="3"/>
        <v>723</v>
      </c>
    </row>
    <row r="112" spans="1:9" x14ac:dyDescent="0.25">
      <c r="A112" s="2">
        <v>45698</v>
      </c>
      <c r="B112" s="1" t="s">
        <v>12</v>
      </c>
      <c r="C112">
        <v>536</v>
      </c>
      <c r="D112">
        <v>198</v>
      </c>
      <c r="E112">
        <v>174610</v>
      </c>
      <c r="F112">
        <v>7.85</v>
      </c>
      <c r="G112">
        <v>20572</v>
      </c>
      <c r="H112">
        <f>Engagement_Summary[[#This Row],[New_Followers]]-Engagement_Summary[[#This Row],[Unfollows]]</f>
        <v>338</v>
      </c>
      <c r="I112">
        <f t="shared" si="3"/>
        <v>347</v>
      </c>
    </row>
    <row r="113" spans="1:9" x14ac:dyDescent="0.25">
      <c r="A113" s="2">
        <v>45705</v>
      </c>
      <c r="B113" s="1" t="s">
        <v>12</v>
      </c>
      <c r="C113">
        <v>646</v>
      </c>
      <c r="D113">
        <v>290</v>
      </c>
      <c r="E113">
        <v>336383</v>
      </c>
      <c r="F113">
        <v>7.04</v>
      </c>
      <c r="G113">
        <v>6532</v>
      </c>
      <c r="H113">
        <f>Engagement_Summary[[#This Row],[New_Followers]]-Engagement_Summary[[#This Row],[Unfollows]]</f>
        <v>356</v>
      </c>
      <c r="I113">
        <f t="shared" si="3"/>
        <v>409.5</v>
      </c>
    </row>
    <row r="114" spans="1:9" x14ac:dyDescent="0.25">
      <c r="A114" s="2">
        <v>45705</v>
      </c>
      <c r="B114" s="1" t="s">
        <v>17</v>
      </c>
      <c r="C114">
        <v>681</v>
      </c>
      <c r="D114">
        <v>218</v>
      </c>
      <c r="E114">
        <v>198882</v>
      </c>
      <c r="F114">
        <v>7.16</v>
      </c>
      <c r="G114">
        <v>22234</v>
      </c>
      <c r="H114">
        <f>Engagement_Summary[[#This Row],[New_Followers]]-Engagement_Summary[[#This Row],[Unfollows]]</f>
        <v>463</v>
      </c>
      <c r="I114">
        <f t="shared" si="3"/>
        <v>593.5</v>
      </c>
    </row>
    <row r="115" spans="1:9" x14ac:dyDescent="0.25">
      <c r="A115" s="2">
        <v>45705</v>
      </c>
      <c r="B115" s="1" t="s">
        <v>11</v>
      </c>
      <c r="C115">
        <v>819</v>
      </c>
      <c r="D115">
        <v>95</v>
      </c>
      <c r="E115">
        <v>177376</v>
      </c>
      <c r="F115">
        <v>6.12</v>
      </c>
      <c r="G115">
        <v>14975</v>
      </c>
      <c r="H115">
        <f>Engagement_Summary[[#This Row],[New_Followers]]-Engagement_Summary[[#This Row],[Unfollows]]</f>
        <v>724</v>
      </c>
      <c r="I115">
        <f t="shared" si="3"/>
        <v>551</v>
      </c>
    </row>
    <row r="116" spans="1:9" x14ac:dyDescent="0.25">
      <c r="A116" s="2">
        <v>45712</v>
      </c>
      <c r="B116" s="1" t="s">
        <v>11</v>
      </c>
      <c r="C116">
        <v>645</v>
      </c>
      <c r="D116">
        <v>267</v>
      </c>
      <c r="E116">
        <v>346890</v>
      </c>
      <c r="F116">
        <v>3.71</v>
      </c>
      <c r="G116">
        <v>24858</v>
      </c>
      <c r="H116">
        <f>Engagement_Summary[[#This Row],[New_Followers]]-Engagement_Summary[[#This Row],[Unfollows]]</f>
        <v>378</v>
      </c>
      <c r="I116">
        <f t="shared" si="3"/>
        <v>507</v>
      </c>
    </row>
    <row r="117" spans="1:9" x14ac:dyDescent="0.25">
      <c r="A117" s="2">
        <v>45712</v>
      </c>
      <c r="B117" s="1" t="s">
        <v>17</v>
      </c>
      <c r="C117">
        <v>886</v>
      </c>
      <c r="D117">
        <v>250</v>
      </c>
      <c r="E117">
        <v>168170</v>
      </c>
      <c r="F117">
        <v>4.12</v>
      </c>
      <c r="G117">
        <v>13883</v>
      </c>
      <c r="H117">
        <f>Engagement_Summary[[#This Row],[New_Followers]]-Engagement_Summary[[#This Row],[Unfollows]]</f>
        <v>636</v>
      </c>
      <c r="I117">
        <f t="shared" si="3"/>
        <v>667.5</v>
      </c>
    </row>
    <row r="118" spans="1:9" x14ac:dyDescent="0.25">
      <c r="A118" s="2">
        <v>45712</v>
      </c>
      <c r="B118" s="1" t="s">
        <v>12</v>
      </c>
      <c r="C118">
        <v>978</v>
      </c>
      <c r="D118">
        <v>279</v>
      </c>
      <c r="E118">
        <v>368872</v>
      </c>
      <c r="F118">
        <v>6.82</v>
      </c>
      <c r="G118">
        <v>18654</v>
      </c>
      <c r="H118">
        <f>Engagement_Summary[[#This Row],[New_Followers]]-Engagement_Summary[[#This Row],[Unfollows]]</f>
        <v>699</v>
      </c>
      <c r="I118">
        <f t="shared" si="3"/>
        <v>989</v>
      </c>
    </row>
    <row r="119" spans="1:9" x14ac:dyDescent="0.25">
      <c r="A119" s="2">
        <v>45719</v>
      </c>
      <c r="B119" s="1" t="s">
        <v>11</v>
      </c>
      <c r="C119">
        <v>1444</v>
      </c>
      <c r="D119">
        <v>165</v>
      </c>
      <c r="E119">
        <v>116436</v>
      </c>
      <c r="F119">
        <v>8.2200000000000006</v>
      </c>
      <c r="G119">
        <v>25234</v>
      </c>
      <c r="H119">
        <f>Engagement_Summary[[#This Row],[New_Followers]]-Engagement_Summary[[#This Row],[Unfollows]]</f>
        <v>1279</v>
      </c>
      <c r="I119">
        <f t="shared" si="3"/>
        <v>1142.5</v>
      </c>
    </row>
    <row r="120" spans="1:9" x14ac:dyDescent="0.25">
      <c r="A120" s="2">
        <v>45719</v>
      </c>
      <c r="B120" s="1" t="s">
        <v>17</v>
      </c>
      <c r="C120">
        <v>1234</v>
      </c>
      <c r="D120">
        <v>228</v>
      </c>
      <c r="E120">
        <v>127502</v>
      </c>
      <c r="F120">
        <v>7.71</v>
      </c>
      <c r="G120">
        <v>6772</v>
      </c>
      <c r="H120">
        <f>Engagement_Summary[[#This Row],[New_Followers]]-Engagement_Summary[[#This Row],[Unfollows]]</f>
        <v>1006</v>
      </c>
      <c r="I120">
        <f t="shared" si="3"/>
        <v>742</v>
      </c>
    </row>
    <row r="121" spans="1:9" x14ac:dyDescent="0.25">
      <c r="A121" s="2">
        <v>45719</v>
      </c>
      <c r="B121" s="1" t="s">
        <v>12</v>
      </c>
      <c r="C121">
        <v>665</v>
      </c>
      <c r="D121">
        <v>187</v>
      </c>
      <c r="E121">
        <v>274567</v>
      </c>
      <c r="F121">
        <v>7.39</v>
      </c>
      <c r="G121">
        <v>22428</v>
      </c>
      <c r="H121">
        <f>Engagement_Summary[[#This Row],[New_Followers]]-Engagement_Summary[[#This Row],[Unfollows]]</f>
        <v>478</v>
      </c>
      <c r="I121">
        <f t="shared" si="3"/>
        <v>511.5</v>
      </c>
    </row>
    <row r="122" spans="1:9" x14ac:dyDescent="0.25">
      <c r="A122" s="2">
        <v>45726</v>
      </c>
      <c r="B122" s="1" t="s">
        <v>11</v>
      </c>
      <c r="C122">
        <v>631</v>
      </c>
      <c r="D122">
        <v>86</v>
      </c>
      <c r="E122">
        <v>295090</v>
      </c>
      <c r="F122">
        <v>7.89</v>
      </c>
      <c r="G122">
        <v>11911</v>
      </c>
      <c r="H122">
        <f>Engagement_Summary[[#This Row],[New_Followers]]-Engagement_Summary[[#This Row],[Unfollows]]</f>
        <v>545</v>
      </c>
      <c r="I122">
        <f t="shared" si="3"/>
        <v>775</v>
      </c>
    </row>
    <row r="123" spans="1:9" x14ac:dyDescent="0.25">
      <c r="A123" s="2">
        <v>45726</v>
      </c>
      <c r="B123" s="1" t="s">
        <v>17</v>
      </c>
      <c r="C123">
        <v>1159</v>
      </c>
      <c r="D123">
        <v>154</v>
      </c>
      <c r="E123">
        <v>194994</v>
      </c>
      <c r="F123">
        <v>6.39</v>
      </c>
      <c r="G123">
        <v>21900</v>
      </c>
      <c r="H123">
        <f>Engagement_Summary[[#This Row],[New_Followers]]-Engagement_Summary[[#This Row],[Unfollows]]</f>
        <v>1005</v>
      </c>
      <c r="I123">
        <f t="shared" si="3"/>
        <v>885</v>
      </c>
    </row>
    <row r="124" spans="1:9" x14ac:dyDescent="0.25">
      <c r="A124" s="2">
        <v>45726</v>
      </c>
      <c r="B124" s="1" t="s">
        <v>12</v>
      </c>
      <c r="C124">
        <v>950</v>
      </c>
      <c r="D124">
        <v>185</v>
      </c>
      <c r="E124">
        <v>340750</v>
      </c>
      <c r="F124">
        <v>6.77</v>
      </c>
      <c r="G124">
        <v>25542</v>
      </c>
      <c r="H124">
        <f>Engagement_Summary[[#This Row],[New_Followers]]-Engagement_Summary[[#This Row],[Unfollows]]</f>
        <v>765</v>
      </c>
      <c r="I124">
        <f t="shared" si="3"/>
        <v>630.5</v>
      </c>
    </row>
    <row r="125" spans="1:9" x14ac:dyDescent="0.25">
      <c r="A125" s="2">
        <v>45733</v>
      </c>
      <c r="B125" s="1" t="s">
        <v>17</v>
      </c>
      <c r="C125">
        <v>576</v>
      </c>
      <c r="D125">
        <v>80</v>
      </c>
      <c r="E125">
        <v>345688</v>
      </c>
      <c r="F125">
        <v>4.1100000000000003</v>
      </c>
      <c r="G125">
        <v>20474</v>
      </c>
      <c r="H125">
        <f>Engagement_Summary[[#This Row],[New_Followers]]-Engagement_Summary[[#This Row],[Unfollows]]</f>
        <v>496</v>
      </c>
      <c r="I125">
        <f t="shared" si="3"/>
        <v>812</v>
      </c>
    </row>
    <row r="126" spans="1:9" x14ac:dyDescent="0.25">
      <c r="A126" s="2">
        <v>45733</v>
      </c>
      <c r="B126" s="1" t="s">
        <v>12</v>
      </c>
      <c r="C126">
        <v>1274</v>
      </c>
      <c r="D126">
        <v>146</v>
      </c>
      <c r="E126">
        <v>263488</v>
      </c>
      <c r="F126">
        <v>9.58</v>
      </c>
      <c r="G126">
        <v>8698</v>
      </c>
      <c r="H126">
        <f>Engagement_Summary[[#This Row],[New_Followers]]-Engagement_Summary[[#This Row],[Unfollows]]</f>
        <v>1128</v>
      </c>
      <c r="I126">
        <f t="shared" si="3"/>
        <v>846</v>
      </c>
    </row>
    <row r="127" spans="1:9" x14ac:dyDescent="0.25">
      <c r="A127" s="2">
        <v>45733</v>
      </c>
      <c r="B127" s="1" t="s">
        <v>11</v>
      </c>
      <c r="C127">
        <v>693</v>
      </c>
      <c r="D127">
        <v>129</v>
      </c>
      <c r="E127">
        <v>296031</v>
      </c>
      <c r="F127">
        <v>3.41</v>
      </c>
      <c r="G127">
        <v>7140</v>
      </c>
      <c r="H127">
        <f>Engagement_Summary[[#This Row],[New_Followers]]-Engagement_Summary[[#This Row],[Unfollows]]</f>
        <v>564</v>
      </c>
      <c r="I127">
        <f t="shared" si="3"/>
        <v>564.5</v>
      </c>
    </row>
    <row r="128" spans="1:9" x14ac:dyDescent="0.25">
      <c r="A128" s="2">
        <v>45740</v>
      </c>
      <c r="B128" s="1" t="s">
        <v>11</v>
      </c>
      <c r="C128">
        <v>818</v>
      </c>
      <c r="D128">
        <v>253</v>
      </c>
      <c r="E128">
        <v>184911</v>
      </c>
      <c r="F128">
        <v>3.39</v>
      </c>
      <c r="G128">
        <v>10402</v>
      </c>
      <c r="H128">
        <f>Engagement_Summary[[#This Row],[New_Followers]]-Engagement_Summary[[#This Row],[Unfollows]]</f>
        <v>565</v>
      </c>
      <c r="I128">
        <f t="shared" si="3"/>
        <v>689</v>
      </c>
    </row>
    <row r="129" spans="1:9" x14ac:dyDescent="0.25">
      <c r="A129" s="2">
        <v>45740</v>
      </c>
      <c r="B129" s="1" t="s">
        <v>17</v>
      </c>
      <c r="C129">
        <v>975</v>
      </c>
      <c r="D129">
        <v>162</v>
      </c>
      <c r="E129">
        <v>124497</v>
      </c>
      <c r="F129">
        <v>9.58</v>
      </c>
      <c r="G129">
        <v>26618</v>
      </c>
      <c r="H129">
        <f>Engagement_Summary[[#This Row],[New_Followers]]-Engagement_Summary[[#This Row],[Unfollows]]</f>
        <v>813</v>
      </c>
      <c r="I129">
        <f t="shared" si="3"/>
        <v>1057</v>
      </c>
    </row>
    <row r="130" spans="1:9" x14ac:dyDescent="0.25">
      <c r="A130" s="2">
        <v>45740</v>
      </c>
      <c r="B130" s="1" t="s">
        <v>12</v>
      </c>
      <c r="C130">
        <v>1398</v>
      </c>
      <c r="D130">
        <v>97</v>
      </c>
      <c r="E130">
        <v>397607</v>
      </c>
      <c r="F130">
        <v>5.09</v>
      </c>
      <c r="G130">
        <v>7975</v>
      </c>
      <c r="H130">
        <f>Engagement_Summary[[#This Row],[New_Followers]]-Engagement_Summary[[#This Row],[Unfollows]]</f>
        <v>1301</v>
      </c>
      <c r="I130">
        <f t="shared" si="3"/>
        <v>868.5</v>
      </c>
    </row>
    <row r="131" spans="1:9" x14ac:dyDescent="0.25">
      <c r="A131" s="2">
        <v>45747</v>
      </c>
      <c r="B131" s="1" t="s">
        <v>11</v>
      </c>
      <c r="C131">
        <v>591</v>
      </c>
      <c r="D131">
        <v>155</v>
      </c>
      <c r="E131">
        <v>138521</v>
      </c>
      <c r="F131">
        <v>7.85</v>
      </c>
      <c r="G131">
        <v>19054</v>
      </c>
      <c r="H131">
        <f>Engagement_Summary[[#This Row],[New_Followers]]-Engagement_Summary[[#This Row],[Unfollows]]</f>
        <v>436</v>
      </c>
      <c r="I131">
        <f t="shared" ref="I131:I162" si="4">AVERAGE(H131:H132)</f>
        <v>707</v>
      </c>
    </row>
    <row r="132" spans="1:9" x14ac:dyDescent="0.25">
      <c r="A132" s="2">
        <v>45747</v>
      </c>
      <c r="B132" s="1" t="s">
        <v>17</v>
      </c>
      <c r="C132">
        <v>1232</v>
      </c>
      <c r="D132">
        <v>254</v>
      </c>
      <c r="E132">
        <v>107718</v>
      </c>
      <c r="F132">
        <v>9.7100000000000009</v>
      </c>
      <c r="G132">
        <v>13740</v>
      </c>
      <c r="H132">
        <f>Engagement_Summary[[#This Row],[New_Followers]]-Engagement_Summary[[#This Row],[Unfollows]]</f>
        <v>978</v>
      </c>
      <c r="I132">
        <f t="shared" si="4"/>
        <v>1172.5</v>
      </c>
    </row>
    <row r="133" spans="1:9" x14ac:dyDescent="0.25">
      <c r="A133" s="2">
        <v>45747</v>
      </c>
      <c r="B133" s="1" t="s">
        <v>12</v>
      </c>
      <c r="C133">
        <v>1425</v>
      </c>
      <c r="D133">
        <v>58</v>
      </c>
      <c r="E133">
        <v>202234</v>
      </c>
      <c r="F133">
        <v>6.67</v>
      </c>
      <c r="G133">
        <v>18442</v>
      </c>
      <c r="H133">
        <f>Engagement_Summary[[#This Row],[New_Followers]]-Engagement_Summary[[#This Row],[Unfollows]]</f>
        <v>1367</v>
      </c>
      <c r="I133">
        <f t="shared" si="4"/>
        <v>1352</v>
      </c>
    </row>
    <row r="134" spans="1:9" x14ac:dyDescent="0.25">
      <c r="A134" s="2">
        <v>45754</v>
      </c>
      <c r="B134" s="1" t="s">
        <v>11</v>
      </c>
      <c r="C134">
        <v>1417</v>
      </c>
      <c r="D134">
        <v>80</v>
      </c>
      <c r="E134">
        <v>340987</v>
      </c>
      <c r="F134">
        <v>6.13</v>
      </c>
      <c r="G134">
        <v>10104</v>
      </c>
      <c r="H134">
        <f>Engagement_Summary[[#This Row],[New_Followers]]-Engagement_Summary[[#This Row],[Unfollows]]</f>
        <v>1337</v>
      </c>
      <c r="I134">
        <f t="shared" si="4"/>
        <v>1175.5</v>
      </c>
    </row>
    <row r="135" spans="1:9" x14ac:dyDescent="0.25">
      <c r="A135" s="2">
        <v>45754</v>
      </c>
      <c r="B135" s="1" t="s">
        <v>17</v>
      </c>
      <c r="C135">
        <v>1222</v>
      </c>
      <c r="D135">
        <v>208</v>
      </c>
      <c r="E135">
        <v>340098</v>
      </c>
      <c r="F135">
        <v>7.34</v>
      </c>
      <c r="G135">
        <v>21771</v>
      </c>
      <c r="H135">
        <f>Engagement_Summary[[#This Row],[New_Followers]]-Engagement_Summary[[#This Row],[Unfollows]]</f>
        <v>1014</v>
      </c>
      <c r="I135">
        <f t="shared" si="4"/>
        <v>977</v>
      </c>
    </row>
    <row r="136" spans="1:9" x14ac:dyDescent="0.25">
      <c r="A136" s="2">
        <v>45754</v>
      </c>
      <c r="B136" s="1" t="s">
        <v>12</v>
      </c>
      <c r="C136">
        <v>1071</v>
      </c>
      <c r="D136">
        <v>131</v>
      </c>
      <c r="E136">
        <v>254727</v>
      </c>
      <c r="F136">
        <v>6.87</v>
      </c>
      <c r="G136">
        <v>22191</v>
      </c>
      <c r="H136">
        <f>Engagement_Summary[[#This Row],[New_Followers]]-Engagement_Summary[[#This Row],[Unfollows]]</f>
        <v>940</v>
      </c>
      <c r="I136">
        <f t="shared" si="4"/>
        <v>1065.5</v>
      </c>
    </row>
    <row r="137" spans="1:9" x14ac:dyDescent="0.25">
      <c r="A137" s="2">
        <v>45761</v>
      </c>
      <c r="B137" s="1" t="s">
        <v>12</v>
      </c>
      <c r="C137">
        <v>1472</v>
      </c>
      <c r="D137">
        <v>281</v>
      </c>
      <c r="E137">
        <v>258115</v>
      </c>
      <c r="F137">
        <v>7.23</v>
      </c>
      <c r="G137">
        <v>27393</v>
      </c>
      <c r="H137">
        <f>Engagement_Summary[[#This Row],[New_Followers]]-Engagement_Summary[[#This Row],[Unfollows]]</f>
        <v>1191</v>
      </c>
      <c r="I137">
        <f t="shared" si="4"/>
        <v>1263</v>
      </c>
    </row>
    <row r="138" spans="1:9" x14ac:dyDescent="0.25">
      <c r="A138" s="2">
        <v>45761</v>
      </c>
      <c r="B138" s="1" t="s">
        <v>17</v>
      </c>
      <c r="C138">
        <v>1472</v>
      </c>
      <c r="D138">
        <v>137</v>
      </c>
      <c r="E138">
        <v>213950</v>
      </c>
      <c r="F138">
        <v>6.96</v>
      </c>
      <c r="G138">
        <v>23736</v>
      </c>
      <c r="H138">
        <f>Engagement_Summary[[#This Row],[New_Followers]]-Engagement_Summary[[#This Row],[Unfollows]]</f>
        <v>1335</v>
      </c>
      <c r="I138">
        <f t="shared" si="4"/>
        <v>1012.5</v>
      </c>
    </row>
    <row r="139" spans="1:9" x14ac:dyDescent="0.25">
      <c r="A139" s="2">
        <v>45761</v>
      </c>
      <c r="B139" s="1" t="s">
        <v>11</v>
      </c>
      <c r="C139">
        <v>772</v>
      </c>
      <c r="D139">
        <v>82</v>
      </c>
      <c r="E139">
        <v>345659</v>
      </c>
      <c r="F139">
        <v>3.52</v>
      </c>
      <c r="G139">
        <v>27753</v>
      </c>
      <c r="H139">
        <f>Engagement_Summary[[#This Row],[New_Followers]]-Engagement_Summary[[#This Row],[Unfollows]]</f>
        <v>690</v>
      </c>
      <c r="I139">
        <f t="shared" si="4"/>
        <v>521.5</v>
      </c>
    </row>
    <row r="140" spans="1:9" x14ac:dyDescent="0.25">
      <c r="A140" s="2">
        <v>45768</v>
      </c>
      <c r="B140" s="1" t="s">
        <v>11</v>
      </c>
      <c r="C140">
        <v>585</v>
      </c>
      <c r="D140">
        <v>232</v>
      </c>
      <c r="E140">
        <v>321258</v>
      </c>
      <c r="F140">
        <v>7.42</v>
      </c>
      <c r="G140">
        <v>10343</v>
      </c>
      <c r="H140">
        <f>Engagement_Summary[[#This Row],[New_Followers]]-Engagement_Summary[[#This Row],[Unfollows]]</f>
        <v>353</v>
      </c>
      <c r="I140">
        <f t="shared" si="4"/>
        <v>419.5</v>
      </c>
    </row>
    <row r="141" spans="1:9" x14ac:dyDescent="0.25">
      <c r="A141" s="2">
        <v>45768</v>
      </c>
      <c r="B141" s="1" t="s">
        <v>17</v>
      </c>
      <c r="C141">
        <v>747</v>
      </c>
      <c r="D141">
        <v>261</v>
      </c>
      <c r="E141">
        <v>338650</v>
      </c>
      <c r="F141">
        <v>7.73</v>
      </c>
      <c r="G141">
        <v>25259</v>
      </c>
      <c r="H141">
        <f>Engagement_Summary[[#This Row],[New_Followers]]-Engagement_Summary[[#This Row],[Unfollows]]</f>
        <v>486</v>
      </c>
      <c r="I141">
        <f t="shared" si="4"/>
        <v>687.5</v>
      </c>
    </row>
    <row r="142" spans="1:9" x14ac:dyDescent="0.25">
      <c r="A142" s="2">
        <v>45768</v>
      </c>
      <c r="B142" s="1" t="s">
        <v>12</v>
      </c>
      <c r="C142">
        <v>1113</v>
      </c>
      <c r="D142">
        <v>224</v>
      </c>
      <c r="E142">
        <v>272989</v>
      </c>
      <c r="F142">
        <v>5.13</v>
      </c>
      <c r="G142">
        <v>24827</v>
      </c>
      <c r="H142">
        <f>Engagement_Summary[[#This Row],[New_Followers]]-Engagement_Summary[[#This Row],[Unfollows]]</f>
        <v>889</v>
      </c>
      <c r="I142">
        <f t="shared" si="4"/>
        <v>936</v>
      </c>
    </row>
    <row r="143" spans="1:9" x14ac:dyDescent="0.25">
      <c r="A143" s="2">
        <v>45775</v>
      </c>
      <c r="B143" s="1" t="s">
        <v>11</v>
      </c>
      <c r="C143">
        <v>1100</v>
      </c>
      <c r="D143">
        <v>117</v>
      </c>
      <c r="E143">
        <v>260204</v>
      </c>
      <c r="F143">
        <v>4.4000000000000004</v>
      </c>
      <c r="G143">
        <v>11908</v>
      </c>
      <c r="H143">
        <f>Engagement_Summary[[#This Row],[New_Followers]]-Engagement_Summary[[#This Row],[Unfollows]]</f>
        <v>983</v>
      </c>
      <c r="I143">
        <f t="shared" si="4"/>
        <v>782</v>
      </c>
    </row>
    <row r="144" spans="1:9" x14ac:dyDescent="0.25">
      <c r="A144" s="2">
        <v>45775</v>
      </c>
      <c r="B144" s="1" t="s">
        <v>17</v>
      </c>
      <c r="C144">
        <v>751</v>
      </c>
      <c r="D144">
        <v>170</v>
      </c>
      <c r="E144">
        <v>283278</v>
      </c>
      <c r="F144">
        <v>3.49</v>
      </c>
      <c r="G144">
        <v>11005</v>
      </c>
      <c r="H144">
        <f>Engagement_Summary[[#This Row],[New_Followers]]-Engagement_Summary[[#This Row],[Unfollows]]</f>
        <v>581</v>
      </c>
      <c r="I144">
        <f t="shared" si="4"/>
        <v>697.5</v>
      </c>
    </row>
    <row r="145" spans="1:9" x14ac:dyDescent="0.25">
      <c r="A145" s="2">
        <v>45775</v>
      </c>
      <c r="B145" s="1" t="s">
        <v>12</v>
      </c>
      <c r="C145">
        <v>864</v>
      </c>
      <c r="D145">
        <v>50</v>
      </c>
      <c r="E145">
        <v>277445</v>
      </c>
      <c r="F145">
        <v>3.57</v>
      </c>
      <c r="G145">
        <v>26333</v>
      </c>
      <c r="H145">
        <f>Engagement_Summary[[#This Row],[New_Followers]]-Engagement_Summary[[#This Row],[Unfollows]]</f>
        <v>814</v>
      </c>
      <c r="I145">
        <f t="shared" si="4"/>
        <v>866.5</v>
      </c>
    </row>
    <row r="146" spans="1:9" x14ac:dyDescent="0.25">
      <c r="A146" s="2">
        <v>45782</v>
      </c>
      <c r="B146" s="1" t="s">
        <v>11</v>
      </c>
      <c r="C146">
        <v>1146</v>
      </c>
      <c r="D146">
        <v>227</v>
      </c>
      <c r="E146">
        <v>353781</v>
      </c>
      <c r="F146">
        <v>6.41</v>
      </c>
      <c r="G146">
        <v>5495</v>
      </c>
      <c r="H146">
        <f>Engagement_Summary[[#This Row],[New_Followers]]-Engagement_Summary[[#This Row],[Unfollows]]</f>
        <v>919</v>
      </c>
      <c r="I146">
        <f t="shared" si="4"/>
        <v>797.5</v>
      </c>
    </row>
    <row r="147" spans="1:9" x14ac:dyDescent="0.25">
      <c r="A147" s="2">
        <v>45782</v>
      </c>
      <c r="B147" s="1" t="s">
        <v>17</v>
      </c>
      <c r="C147">
        <v>883</v>
      </c>
      <c r="D147">
        <v>207</v>
      </c>
      <c r="E147">
        <v>265019</v>
      </c>
      <c r="F147">
        <v>6.04</v>
      </c>
      <c r="G147">
        <v>15655</v>
      </c>
      <c r="H147">
        <f>Engagement_Summary[[#This Row],[New_Followers]]-Engagement_Summary[[#This Row],[Unfollows]]</f>
        <v>676</v>
      </c>
      <c r="I147">
        <f t="shared" si="4"/>
        <v>567.5</v>
      </c>
    </row>
    <row r="148" spans="1:9" x14ac:dyDescent="0.25">
      <c r="A148" s="2">
        <v>45782</v>
      </c>
      <c r="B148" s="1" t="s">
        <v>12</v>
      </c>
      <c r="C148">
        <v>622</v>
      </c>
      <c r="D148">
        <v>163</v>
      </c>
      <c r="E148">
        <v>231925</v>
      </c>
      <c r="F148">
        <v>9.18</v>
      </c>
      <c r="G148">
        <v>13763</v>
      </c>
      <c r="H148">
        <f>Engagement_Summary[[#This Row],[New_Followers]]-Engagement_Summary[[#This Row],[Unfollows]]</f>
        <v>459</v>
      </c>
      <c r="I148">
        <f t="shared" si="4"/>
        <v>453</v>
      </c>
    </row>
    <row r="149" spans="1:9" x14ac:dyDescent="0.25">
      <c r="A149" s="2">
        <v>45789</v>
      </c>
      <c r="B149" s="1" t="s">
        <v>17</v>
      </c>
      <c r="C149">
        <v>544</v>
      </c>
      <c r="D149">
        <v>97</v>
      </c>
      <c r="E149">
        <v>168375</v>
      </c>
      <c r="F149">
        <v>8.66</v>
      </c>
      <c r="G149">
        <v>12774</v>
      </c>
      <c r="H149">
        <f>Engagement_Summary[[#This Row],[New_Followers]]-Engagement_Summary[[#This Row],[Unfollows]]</f>
        <v>447</v>
      </c>
      <c r="I149">
        <f t="shared" si="4"/>
        <v>412</v>
      </c>
    </row>
    <row r="150" spans="1:9" x14ac:dyDescent="0.25">
      <c r="A150" s="2">
        <v>45789</v>
      </c>
      <c r="B150" s="1" t="s">
        <v>12</v>
      </c>
      <c r="C150">
        <v>624</v>
      </c>
      <c r="D150">
        <v>247</v>
      </c>
      <c r="E150">
        <v>252763</v>
      </c>
      <c r="F150">
        <v>3.89</v>
      </c>
      <c r="G150">
        <v>19000</v>
      </c>
      <c r="H150">
        <f>Engagement_Summary[[#This Row],[New_Followers]]-Engagement_Summary[[#This Row],[Unfollows]]</f>
        <v>377</v>
      </c>
      <c r="I150">
        <f t="shared" si="4"/>
        <v>476.5</v>
      </c>
    </row>
    <row r="151" spans="1:9" x14ac:dyDescent="0.25">
      <c r="A151" s="2">
        <v>45789</v>
      </c>
      <c r="B151" s="1" t="s">
        <v>11</v>
      </c>
      <c r="C151">
        <v>837</v>
      </c>
      <c r="D151">
        <v>261</v>
      </c>
      <c r="E151">
        <v>366149</v>
      </c>
      <c r="F151">
        <v>6.54</v>
      </c>
      <c r="G151">
        <v>26073</v>
      </c>
      <c r="H151">
        <f>Engagement_Summary[[#This Row],[New_Followers]]-Engagement_Summary[[#This Row],[Unfollows]]</f>
        <v>576</v>
      </c>
      <c r="I151">
        <f t="shared" si="4"/>
        <v>928.5</v>
      </c>
    </row>
    <row r="152" spans="1:9" x14ac:dyDescent="0.25">
      <c r="A152" s="2">
        <v>45796</v>
      </c>
      <c r="B152" s="1" t="s">
        <v>12</v>
      </c>
      <c r="C152">
        <v>1358</v>
      </c>
      <c r="D152">
        <v>77</v>
      </c>
      <c r="E152">
        <v>169688</v>
      </c>
      <c r="F152">
        <v>5.25</v>
      </c>
      <c r="G152">
        <v>7859</v>
      </c>
      <c r="H152">
        <f>Engagement_Summary[[#This Row],[New_Followers]]-Engagement_Summary[[#This Row],[Unfollows]]</f>
        <v>1281</v>
      </c>
      <c r="I152">
        <f t="shared" si="4"/>
        <v>1106.5</v>
      </c>
    </row>
    <row r="153" spans="1:9" x14ac:dyDescent="0.25">
      <c r="A153" s="2">
        <v>45796</v>
      </c>
      <c r="B153" s="1" t="s">
        <v>11</v>
      </c>
      <c r="C153">
        <v>1073</v>
      </c>
      <c r="D153">
        <v>141</v>
      </c>
      <c r="E153">
        <v>118393</v>
      </c>
      <c r="F153">
        <v>7.95</v>
      </c>
      <c r="G153">
        <v>14051</v>
      </c>
      <c r="H153">
        <f>Engagement_Summary[[#This Row],[New_Followers]]-Engagement_Summary[[#This Row],[Unfollows]]</f>
        <v>932</v>
      </c>
      <c r="I153">
        <f t="shared" si="4"/>
        <v>1144</v>
      </c>
    </row>
    <row r="154" spans="1:9" x14ac:dyDescent="0.25">
      <c r="A154" s="2">
        <v>45796</v>
      </c>
      <c r="B154" s="1" t="s">
        <v>17</v>
      </c>
      <c r="C154">
        <v>1430</v>
      </c>
      <c r="D154">
        <v>74</v>
      </c>
      <c r="E154">
        <v>327012</v>
      </c>
      <c r="F154">
        <v>6.66</v>
      </c>
      <c r="G154">
        <v>27782</v>
      </c>
      <c r="H154">
        <f>Engagement_Summary[[#This Row],[New_Followers]]-Engagement_Summary[[#This Row],[Unfollows]]</f>
        <v>1356</v>
      </c>
      <c r="I154">
        <f t="shared" si="4"/>
        <v>1198.5</v>
      </c>
    </row>
    <row r="155" spans="1:9" x14ac:dyDescent="0.25">
      <c r="A155" s="2">
        <v>45803</v>
      </c>
      <c r="B155" s="1" t="s">
        <v>11</v>
      </c>
      <c r="C155">
        <v>1242</v>
      </c>
      <c r="D155">
        <v>201</v>
      </c>
      <c r="E155">
        <v>271935</v>
      </c>
      <c r="F155">
        <v>5.07</v>
      </c>
      <c r="G155">
        <v>15773</v>
      </c>
      <c r="H155">
        <f>Engagement_Summary[[#This Row],[New_Followers]]-Engagement_Summary[[#This Row],[Unfollows]]</f>
        <v>1041</v>
      </c>
      <c r="I155">
        <f t="shared" si="4"/>
        <v>1112.5</v>
      </c>
    </row>
    <row r="156" spans="1:9" x14ac:dyDescent="0.25">
      <c r="A156" s="2">
        <v>45803</v>
      </c>
      <c r="B156" s="1" t="s">
        <v>17</v>
      </c>
      <c r="C156">
        <v>1389</v>
      </c>
      <c r="D156">
        <v>205</v>
      </c>
      <c r="E156">
        <v>315981</v>
      </c>
      <c r="F156">
        <v>7.62</v>
      </c>
      <c r="G156">
        <v>20595</v>
      </c>
      <c r="H156">
        <f>Engagement_Summary[[#This Row],[New_Followers]]-Engagement_Summary[[#This Row],[Unfollows]]</f>
        <v>1184</v>
      </c>
      <c r="I156">
        <f t="shared" si="4"/>
        <v>934</v>
      </c>
    </row>
    <row r="157" spans="1:9" x14ac:dyDescent="0.25">
      <c r="A157" s="2">
        <v>45803</v>
      </c>
      <c r="B157" s="1" t="s">
        <v>12</v>
      </c>
      <c r="C157">
        <v>826</v>
      </c>
      <c r="D157">
        <v>142</v>
      </c>
      <c r="E157">
        <v>341016</v>
      </c>
      <c r="F157">
        <v>7.44</v>
      </c>
      <c r="G157">
        <v>12031</v>
      </c>
      <c r="H157">
        <f>Engagement_Summary[[#This Row],[New_Followers]]-Engagement_Summary[[#This Row],[Unfollows]]</f>
        <v>684</v>
      </c>
      <c r="I157">
        <f t="shared" si="4"/>
        <v>519</v>
      </c>
    </row>
    <row r="158" spans="1:9" x14ac:dyDescent="0.25">
      <c r="A158" s="2">
        <v>45810</v>
      </c>
      <c r="B158" s="1" t="s">
        <v>11</v>
      </c>
      <c r="C158">
        <v>618</v>
      </c>
      <c r="D158">
        <v>264</v>
      </c>
      <c r="E158">
        <v>285164</v>
      </c>
      <c r="F158">
        <v>4.8600000000000003</v>
      </c>
      <c r="G158">
        <v>15128</v>
      </c>
      <c r="H158">
        <f>Engagement_Summary[[#This Row],[New_Followers]]-Engagement_Summary[[#This Row],[Unfollows]]</f>
        <v>354</v>
      </c>
      <c r="I158">
        <f t="shared" si="4"/>
        <v>740</v>
      </c>
    </row>
    <row r="159" spans="1:9" x14ac:dyDescent="0.25">
      <c r="A159" s="2">
        <v>45810</v>
      </c>
      <c r="B159" s="1" t="s">
        <v>17</v>
      </c>
      <c r="C159">
        <v>1419</v>
      </c>
      <c r="D159">
        <v>293</v>
      </c>
      <c r="E159">
        <v>116632</v>
      </c>
      <c r="F159">
        <v>6.93</v>
      </c>
      <c r="G159">
        <v>11826</v>
      </c>
      <c r="H159">
        <f>Engagement_Summary[[#This Row],[New_Followers]]-Engagement_Summary[[#This Row],[Unfollows]]</f>
        <v>1126</v>
      </c>
      <c r="I159">
        <f t="shared" si="4"/>
        <v>847.5</v>
      </c>
    </row>
    <row r="160" spans="1:9" x14ac:dyDescent="0.25">
      <c r="A160" s="2">
        <v>45810</v>
      </c>
      <c r="B160" s="1" t="s">
        <v>12</v>
      </c>
      <c r="C160">
        <v>637</v>
      </c>
      <c r="D160">
        <v>68</v>
      </c>
      <c r="E160">
        <v>115694</v>
      </c>
      <c r="F160">
        <v>9.99</v>
      </c>
      <c r="G160">
        <v>12562</v>
      </c>
      <c r="H160">
        <f>Engagement_Summary[[#This Row],[New_Followers]]-Engagement_Summary[[#This Row],[Unfollows]]</f>
        <v>569</v>
      </c>
      <c r="I160">
        <f t="shared" si="4"/>
        <v>649.5</v>
      </c>
    </row>
    <row r="161" spans="1:9" x14ac:dyDescent="0.25">
      <c r="A161" s="2">
        <v>45817</v>
      </c>
      <c r="B161" s="1" t="s">
        <v>11</v>
      </c>
      <c r="C161">
        <v>917</v>
      </c>
      <c r="D161">
        <v>187</v>
      </c>
      <c r="E161">
        <v>64444</v>
      </c>
      <c r="F161">
        <v>5.22</v>
      </c>
      <c r="G161">
        <v>13013</v>
      </c>
      <c r="H161">
        <f>Engagement_Summary[[#This Row],[New_Followers]]-Engagement_Summary[[#This Row],[Unfollows]]</f>
        <v>730</v>
      </c>
      <c r="I161">
        <f t="shared" si="4"/>
        <v>654</v>
      </c>
    </row>
    <row r="162" spans="1:9" x14ac:dyDescent="0.25">
      <c r="A162" s="2">
        <v>45817</v>
      </c>
      <c r="B162" s="1" t="s">
        <v>17</v>
      </c>
      <c r="C162">
        <v>810</v>
      </c>
      <c r="D162">
        <v>232</v>
      </c>
      <c r="E162">
        <v>362559</v>
      </c>
      <c r="F162">
        <v>5.17</v>
      </c>
      <c r="G162">
        <v>12937</v>
      </c>
      <c r="H162">
        <f>Engagement_Summary[[#This Row],[New_Followers]]-Engagement_Summary[[#This Row],[Unfollows]]</f>
        <v>578</v>
      </c>
      <c r="I162">
        <f t="shared" si="4"/>
        <v>756.5</v>
      </c>
    </row>
    <row r="163" spans="1:9" x14ac:dyDescent="0.25">
      <c r="A163" s="2">
        <v>45817</v>
      </c>
      <c r="B163" s="1" t="s">
        <v>12</v>
      </c>
      <c r="C163">
        <v>1183</v>
      </c>
      <c r="D163">
        <v>248</v>
      </c>
      <c r="E163">
        <v>226881</v>
      </c>
      <c r="F163">
        <v>5.17</v>
      </c>
      <c r="G163">
        <v>14534</v>
      </c>
      <c r="H163">
        <f>Engagement_Summary[[#This Row],[New_Followers]]-Engagement_Summary[[#This Row],[Unfollows]]</f>
        <v>935</v>
      </c>
      <c r="I163">
        <f t="shared" ref="I163:I194" si="5">AVERAGE(H163:H164)</f>
        <v>964.5</v>
      </c>
    </row>
    <row r="164" spans="1:9" x14ac:dyDescent="0.25">
      <c r="A164" s="2">
        <v>45824</v>
      </c>
      <c r="B164" s="1" t="s">
        <v>12</v>
      </c>
      <c r="C164">
        <v>1145</v>
      </c>
      <c r="D164">
        <v>151</v>
      </c>
      <c r="E164">
        <v>182759</v>
      </c>
      <c r="F164">
        <v>5.99</v>
      </c>
      <c r="G164">
        <v>20109</v>
      </c>
      <c r="H164">
        <f>Engagement_Summary[[#This Row],[New_Followers]]-Engagement_Summary[[#This Row],[Unfollows]]</f>
        <v>994</v>
      </c>
      <c r="I164">
        <f t="shared" si="5"/>
        <v>659.5</v>
      </c>
    </row>
    <row r="165" spans="1:9" x14ac:dyDescent="0.25">
      <c r="A165" s="2">
        <v>45824</v>
      </c>
      <c r="B165" s="1" t="s">
        <v>17</v>
      </c>
      <c r="C165">
        <v>540</v>
      </c>
      <c r="D165">
        <v>215</v>
      </c>
      <c r="E165">
        <v>62837</v>
      </c>
      <c r="F165">
        <v>5.3</v>
      </c>
      <c r="G165">
        <v>10615</v>
      </c>
      <c r="H165">
        <f>Engagement_Summary[[#This Row],[New_Followers]]-Engagement_Summary[[#This Row],[Unfollows]]</f>
        <v>325</v>
      </c>
      <c r="I165">
        <f t="shared" si="5"/>
        <v>511.5</v>
      </c>
    </row>
    <row r="166" spans="1:9" x14ac:dyDescent="0.25">
      <c r="A166" s="2">
        <v>45824</v>
      </c>
      <c r="B166" s="1" t="s">
        <v>11</v>
      </c>
      <c r="C166">
        <v>765</v>
      </c>
      <c r="D166">
        <v>67</v>
      </c>
      <c r="E166">
        <v>283537</v>
      </c>
      <c r="F166">
        <v>6.18</v>
      </c>
      <c r="G166">
        <v>8182</v>
      </c>
      <c r="H166">
        <f>Engagement_Summary[[#This Row],[New_Followers]]-Engagement_Summary[[#This Row],[Unfollows]]</f>
        <v>698</v>
      </c>
      <c r="I166">
        <f t="shared" si="5"/>
        <v>509</v>
      </c>
    </row>
    <row r="167" spans="1:9" x14ac:dyDescent="0.25">
      <c r="A167" s="2">
        <v>45831</v>
      </c>
      <c r="B167" s="1" t="s">
        <v>11</v>
      </c>
      <c r="C167">
        <v>564</v>
      </c>
      <c r="D167">
        <v>244</v>
      </c>
      <c r="E167">
        <v>279405</v>
      </c>
      <c r="F167">
        <v>8.43</v>
      </c>
      <c r="G167">
        <v>26024</v>
      </c>
      <c r="H167">
        <f>Engagement_Summary[[#This Row],[New_Followers]]-Engagement_Summary[[#This Row],[Unfollows]]</f>
        <v>320</v>
      </c>
      <c r="I167">
        <f t="shared" si="5"/>
        <v>432</v>
      </c>
    </row>
    <row r="168" spans="1:9" x14ac:dyDescent="0.25">
      <c r="A168" s="2">
        <v>45831</v>
      </c>
      <c r="B168" s="1" t="s">
        <v>17</v>
      </c>
      <c r="C168">
        <v>668</v>
      </c>
      <c r="D168">
        <v>124</v>
      </c>
      <c r="E168">
        <v>257485</v>
      </c>
      <c r="F168">
        <v>7.55</v>
      </c>
      <c r="G168">
        <v>26730</v>
      </c>
      <c r="H168">
        <f>Engagement_Summary[[#This Row],[New_Followers]]-Engagement_Summary[[#This Row],[Unfollows]]</f>
        <v>544</v>
      </c>
      <c r="I168">
        <f t="shared" si="5"/>
        <v>532</v>
      </c>
    </row>
    <row r="169" spans="1:9" x14ac:dyDescent="0.25">
      <c r="A169" s="2">
        <v>45831</v>
      </c>
      <c r="B169" s="1" t="s">
        <v>12</v>
      </c>
      <c r="C169">
        <v>761</v>
      </c>
      <c r="D169">
        <v>241</v>
      </c>
      <c r="E169">
        <v>154977</v>
      </c>
      <c r="F169">
        <v>5.63</v>
      </c>
      <c r="G169">
        <v>10563</v>
      </c>
      <c r="H169">
        <f>Engagement_Summary[[#This Row],[New_Followers]]-Engagement_Summary[[#This Row],[Unfollows]]</f>
        <v>520</v>
      </c>
      <c r="I169">
        <f t="shared" si="5"/>
        <v>502.5</v>
      </c>
    </row>
    <row r="170" spans="1:9" x14ac:dyDescent="0.25">
      <c r="A170" s="2">
        <v>45838</v>
      </c>
      <c r="B170" s="1" t="s">
        <v>11</v>
      </c>
      <c r="C170">
        <v>593</v>
      </c>
      <c r="D170">
        <v>108</v>
      </c>
      <c r="E170">
        <v>216500</v>
      </c>
      <c r="F170">
        <v>4.71</v>
      </c>
      <c r="G170">
        <v>27575</v>
      </c>
      <c r="H170">
        <f>Engagement_Summary[[#This Row],[New_Followers]]-Engagement_Summary[[#This Row],[Unfollows]]</f>
        <v>485</v>
      </c>
      <c r="I170">
        <f t="shared" si="5"/>
        <v>859.5</v>
      </c>
    </row>
    <row r="171" spans="1:9" x14ac:dyDescent="0.25">
      <c r="A171" s="2">
        <v>45838</v>
      </c>
      <c r="B171" s="1" t="s">
        <v>17</v>
      </c>
      <c r="C171">
        <v>1349</v>
      </c>
      <c r="D171">
        <v>115</v>
      </c>
      <c r="E171">
        <v>102102</v>
      </c>
      <c r="F171">
        <v>5.28</v>
      </c>
      <c r="G171">
        <v>14479</v>
      </c>
      <c r="H171">
        <f>Engagement_Summary[[#This Row],[New_Followers]]-Engagement_Summary[[#This Row],[Unfollows]]</f>
        <v>1234</v>
      </c>
      <c r="I171">
        <f t="shared" si="5"/>
        <v>915</v>
      </c>
    </row>
    <row r="172" spans="1:9" x14ac:dyDescent="0.25">
      <c r="A172" s="2">
        <v>45838</v>
      </c>
      <c r="B172" s="1" t="s">
        <v>12</v>
      </c>
      <c r="C172">
        <v>693</v>
      </c>
      <c r="D172">
        <v>97</v>
      </c>
      <c r="E172">
        <v>92025</v>
      </c>
      <c r="F172">
        <v>5.95</v>
      </c>
      <c r="G172">
        <v>15915</v>
      </c>
      <c r="H172">
        <f>Engagement_Summary[[#This Row],[New_Followers]]-Engagement_Summary[[#This Row],[Unfollows]]</f>
        <v>596</v>
      </c>
      <c r="I172">
        <f t="shared" si="5"/>
        <v>713.5</v>
      </c>
    </row>
    <row r="173" spans="1:9" x14ac:dyDescent="0.25">
      <c r="A173" s="2">
        <v>45845</v>
      </c>
      <c r="B173" s="1" t="s">
        <v>11</v>
      </c>
      <c r="C173">
        <v>974</v>
      </c>
      <c r="D173">
        <v>143</v>
      </c>
      <c r="E173">
        <v>247965</v>
      </c>
      <c r="F173">
        <v>9.98</v>
      </c>
      <c r="G173">
        <v>12767</v>
      </c>
      <c r="H173">
        <f>Engagement_Summary[[#This Row],[New_Followers]]-Engagement_Summary[[#This Row],[Unfollows]]</f>
        <v>831</v>
      </c>
      <c r="I173">
        <f t="shared" si="5"/>
        <v>932</v>
      </c>
    </row>
    <row r="174" spans="1:9" x14ac:dyDescent="0.25">
      <c r="A174" s="2">
        <v>45845</v>
      </c>
      <c r="B174" s="1" t="s">
        <v>17</v>
      </c>
      <c r="C174">
        <v>1155</v>
      </c>
      <c r="D174">
        <v>122</v>
      </c>
      <c r="E174">
        <v>387352</v>
      </c>
      <c r="F174">
        <v>9.93</v>
      </c>
      <c r="G174">
        <v>12170</v>
      </c>
      <c r="H174">
        <f>Engagement_Summary[[#This Row],[New_Followers]]-Engagement_Summary[[#This Row],[Unfollows]]</f>
        <v>1033</v>
      </c>
      <c r="I174">
        <f t="shared" si="5"/>
        <v>919</v>
      </c>
    </row>
    <row r="175" spans="1:9" x14ac:dyDescent="0.25">
      <c r="A175" s="2">
        <v>45845</v>
      </c>
      <c r="B175" s="1" t="s">
        <v>12</v>
      </c>
      <c r="C175">
        <v>1051</v>
      </c>
      <c r="D175">
        <v>246</v>
      </c>
      <c r="E175">
        <v>253985</v>
      </c>
      <c r="F175">
        <v>9.08</v>
      </c>
      <c r="G175">
        <v>7245</v>
      </c>
      <c r="H175">
        <f>Engagement_Summary[[#This Row],[New_Followers]]-Engagement_Summary[[#This Row],[Unfollows]]</f>
        <v>805</v>
      </c>
      <c r="I175">
        <f t="shared" si="5"/>
        <v>878.5</v>
      </c>
    </row>
    <row r="176" spans="1:9" x14ac:dyDescent="0.25">
      <c r="A176" s="2">
        <v>45852</v>
      </c>
      <c r="B176" s="1" t="s">
        <v>12</v>
      </c>
      <c r="C176">
        <v>1111</v>
      </c>
      <c r="D176">
        <v>159</v>
      </c>
      <c r="E176">
        <v>360770</v>
      </c>
      <c r="F176">
        <v>8.7100000000000009</v>
      </c>
      <c r="G176">
        <v>11453</v>
      </c>
      <c r="H176">
        <f>Engagement_Summary[[#This Row],[New_Followers]]-Engagement_Summary[[#This Row],[Unfollows]]</f>
        <v>952</v>
      </c>
      <c r="I176">
        <f t="shared" si="5"/>
        <v>1113</v>
      </c>
    </row>
    <row r="177" spans="1:9" x14ac:dyDescent="0.25">
      <c r="A177" s="2">
        <v>45852</v>
      </c>
      <c r="B177" s="1" t="s">
        <v>11</v>
      </c>
      <c r="C177">
        <v>1457</v>
      </c>
      <c r="D177">
        <v>183</v>
      </c>
      <c r="E177">
        <v>129640</v>
      </c>
      <c r="F177">
        <v>7.98</v>
      </c>
      <c r="G177">
        <v>12985</v>
      </c>
      <c r="H177">
        <f>Engagement_Summary[[#This Row],[New_Followers]]-Engagement_Summary[[#This Row],[Unfollows]]</f>
        <v>1274</v>
      </c>
      <c r="I177">
        <f t="shared" si="5"/>
        <v>851</v>
      </c>
    </row>
    <row r="178" spans="1:9" x14ac:dyDescent="0.25">
      <c r="A178" s="2">
        <v>45852</v>
      </c>
      <c r="B178" s="1" t="s">
        <v>17</v>
      </c>
      <c r="C178">
        <v>670</v>
      </c>
      <c r="D178">
        <v>242</v>
      </c>
      <c r="E178">
        <v>281913</v>
      </c>
      <c r="F178">
        <v>9.6199999999999992</v>
      </c>
      <c r="G178">
        <v>16377</v>
      </c>
      <c r="H178">
        <f>Engagement_Summary[[#This Row],[New_Followers]]-Engagement_Summary[[#This Row],[Unfollows]]</f>
        <v>428</v>
      </c>
      <c r="I178">
        <f t="shared" si="5"/>
        <v>689.5</v>
      </c>
    </row>
    <row r="179" spans="1:9" x14ac:dyDescent="0.25">
      <c r="A179" s="2">
        <v>45859</v>
      </c>
      <c r="B179" s="1" t="s">
        <v>11</v>
      </c>
      <c r="C179">
        <v>1197</v>
      </c>
      <c r="D179">
        <v>246</v>
      </c>
      <c r="E179">
        <v>127273</v>
      </c>
      <c r="F179">
        <v>6.69</v>
      </c>
      <c r="G179">
        <v>12323</v>
      </c>
      <c r="H179">
        <f>Engagement_Summary[[#This Row],[New_Followers]]-Engagement_Summary[[#This Row],[Unfollows]]</f>
        <v>951</v>
      </c>
      <c r="I179">
        <f t="shared" si="5"/>
        <v>777.5</v>
      </c>
    </row>
    <row r="180" spans="1:9" x14ac:dyDescent="0.25">
      <c r="A180" s="2">
        <v>45859</v>
      </c>
      <c r="B180" s="1" t="s">
        <v>17</v>
      </c>
      <c r="C180">
        <v>754</v>
      </c>
      <c r="D180">
        <v>150</v>
      </c>
      <c r="E180">
        <v>189622</v>
      </c>
      <c r="F180">
        <v>4.25</v>
      </c>
      <c r="G180">
        <v>11911</v>
      </c>
      <c r="H180">
        <f>Engagement_Summary[[#This Row],[New_Followers]]-Engagement_Summary[[#This Row],[Unfollows]]</f>
        <v>604</v>
      </c>
      <c r="I180">
        <f t="shared" si="5"/>
        <v>871.5</v>
      </c>
    </row>
    <row r="181" spans="1:9" x14ac:dyDescent="0.25">
      <c r="A181" s="2">
        <v>45859</v>
      </c>
      <c r="B181" s="1" t="s">
        <v>12</v>
      </c>
      <c r="C181">
        <v>1246</v>
      </c>
      <c r="D181">
        <v>107</v>
      </c>
      <c r="E181">
        <v>350949</v>
      </c>
      <c r="F181">
        <v>4.9800000000000004</v>
      </c>
      <c r="G181">
        <v>27809</v>
      </c>
      <c r="H181">
        <f>Engagement_Summary[[#This Row],[New_Followers]]-Engagement_Summary[[#This Row],[Unfollows]]</f>
        <v>1139</v>
      </c>
      <c r="I181">
        <f t="shared" si="5"/>
        <v>853</v>
      </c>
    </row>
    <row r="182" spans="1:9" x14ac:dyDescent="0.25">
      <c r="A182" s="2">
        <v>45866</v>
      </c>
      <c r="B182" s="1" t="s">
        <v>11</v>
      </c>
      <c r="C182">
        <v>780</v>
      </c>
      <c r="D182">
        <v>213</v>
      </c>
      <c r="E182">
        <v>121431</v>
      </c>
      <c r="F182">
        <v>4.97</v>
      </c>
      <c r="G182">
        <v>21464</v>
      </c>
      <c r="H182">
        <f>Engagement_Summary[[#This Row],[New_Followers]]-Engagement_Summary[[#This Row],[Unfollows]]</f>
        <v>567</v>
      </c>
      <c r="I182">
        <f t="shared" si="5"/>
        <v>924.5</v>
      </c>
    </row>
    <row r="183" spans="1:9" x14ac:dyDescent="0.25">
      <c r="A183" s="2">
        <v>45866</v>
      </c>
      <c r="B183" s="1" t="s">
        <v>17</v>
      </c>
      <c r="C183">
        <v>1425</v>
      </c>
      <c r="D183">
        <v>143</v>
      </c>
      <c r="E183">
        <v>116742</v>
      </c>
      <c r="F183">
        <v>3.71</v>
      </c>
      <c r="G183">
        <v>27126</v>
      </c>
      <c r="H183">
        <f>Engagement_Summary[[#This Row],[New_Followers]]-Engagement_Summary[[#This Row],[Unfollows]]</f>
        <v>1282</v>
      </c>
      <c r="I183">
        <f t="shared" si="5"/>
        <v>1334.5</v>
      </c>
    </row>
    <row r="184" spans="1:9" x14ac:dyDescent="0.25">
      <c r="A184" s="2">
        <v>45866</v>
      </c>
      <c r="B184" s="1" t="s">
        <v>12</v>
      </c>
      <c r="C184">
        <v>1490</v>
      </c>
      <c r="D184">
        <v>103</v>
      </c>
      <c r="E184">
        <v>81184</v>
      </c>
      <c r="F184">
        <v>7.79</v>
      </c>
      <c r="G184">
        <v>10681</v>
      </c>
      <c r="H184">
        <f>Engagement_Summary[[#This Row],[New_Followers]]-Engagement_Summary[[#This Row],[Unfollows]]</f>
        <v>1387</v>
      </c>
      <c r="I184">
        <f t="shared" si="5"/>
        <v>955</v>
      </c>
    </row>
    <row r="185" spans="1:9" x14ac:dyDescent="0.25">
      <c r="A185" s="2">
        <v>45873</v>
      </c>
      <c r="B185" s="1" t="s">
        <v>12</v>
      </c>
      <c r="C185">
        <v>616</v>
      </c>
      <c r="D185">
        <v>93</v>
      </c>
      <c r="E185">
        <v>133082</v>
      </c>
      <c r="F185">
        <v>8.51</v>
      </c>
      <c r="G185">
        <v>18303</v>
      </c>
      <c r="H185">
        <f>Engagement_Summary[[#This Row],[New_Followers]]-Engagement_Summary[[#This Row],[Unfollows]]</f>
        <v>523</v>
      </c>
      <c r="I185">
        <f t="shared" si="5"/>
        <v>595</v>
      </c>
    </row>
    <row r="186" spans="1:9" x14ac:dyDescent="0.25">
      <c r="A186" s="2">
        <v>45873</v>
      </c>
      <c r="B186" s="1" t="s">
        <v>11</v>
      </c>
      <c r="C186">
        <v>949</v>
      </c>
      <c r="D186">
        <v>282</v>
      </c>
      <c r="E186">
        <v>87126</v>
      </c>
      <c r="F186">
        <v>4.96</v>
      </c>
      <c r="G186">
        <v>5413</v>
      </c>
      <c r="H186">
        <f>Engagement_Summary[[#This Row],[New_Followers]]-Engagement_Summary[[#This Row],[Unfollows]]</f>
        <v>667</v>
      </c>
      <c r="I186">
        <f t="shared" si="5"/>
        <v>583</v>
      </c>
    </row>
    <row r="187" spans="1:9" x14ac:dyDescent="0.25">
      <c r="A187" s="2">
        <v>45873</v>
      </c>
      <c r="B187" s="1" t="s">
        <v>17</v>
      </c>
      <c r="C187">
        <v>640</v>
      </c>
      <c r="D187">
        <v>141</v>
      </c>
      <c r="E187">
        <v>267546</v>
      </c>
      <c r="F187">
        <v>8.58</v>
      </c>
      <c r="G187">
        <v>25058</v>
      </c>
      <c r="H187">
        <f>Engagement_Summary[[#This Row],[New_Followers]]-Engagement_Summary[[#This Row],[Unfollows]]</f>
        <v>499</v>
      </c>
      <c r="I187">
        <f t="shared" si="5"/>
        <v>697.5</v>
      </c>
    </row>
    <row r="188" spans="1:9" x14ac:dyDescent="0.25">
      <c r="A188" s="2">
        <v>45880</v>
      </c>
      <c r="B188" s="1" t="s">
        <v>11</v>
      </c>
      <c r="C188">
        <v>1080</v>
      </c>
      <c r="D188">
        <v>184</v>
      </c>
      <c r="E188">
        <v>340557</v>
      </c>
      <c r="F188">
        <v>5.41</v>
      </c>
      <c r="G188">
        <v>5526</v>
      </c>
      <c r="H188">
        <f>Engagement_Summary[[#This Row],[New_Followers]]-Engagement_Summary[[#This Row],[Unfollows]]</f>
        <v>896</v>
      </c>
      <c r="I188">
        <f t="shared" si="5"/>
        <v>799</v>
      </c>
    </row>
    <row r="189" spans="1:9" x14ac:dyDescent="0.25">
      <c r="A189" s="2">
        <v>45880</v>
      </c>
      <c r="B189" s="1" t="s">
        <v>17</v>
      </c>
      <c r="C189">
        <v>938</v>
      </c>
      <c r="D189">
        <v>236</v>
      </c>
      <c r="E189">
        <v>116472</v>
      </c>
      <c r="F189">
        <v>8.7200000000000006</v>
      </c>
      <c r="G189">
        <v>17460</v>
      </c>
      <c r="H189">
        <f>Engagement_Summary[[#This Row],[New_Followers]]-Engagement_Summary[[#This Row],[Unfollows]]</f>
        <v>702</v>
      </c>
      <c r="I189">
        <f t="shared" si="5"/>
        <v>725.5</v>
      </c>
    </row>
    <row r="190" spans="1:9" x14ac:dyDescent="0.25">
      <c r="A190" s="2">
        <v>45880</v>
      </c>
      <c r="B190" s="1" t="s">
        <v>12</v>
      </c>
      <c r="C190">
        <v>1007</v>
      </c>
      <c r="D190">
        <v>258</v>
      </c>
      <c r="E190">
        <v>113412</v>
      </c>
      <c r="F190">
        <v>7.71</v>
      </c>
      <c r="G190">
        <v>14475</v>
      </c>
      <c r="H190">
        <f>Engagement_Summary[[#This Row],[New_Followers]]-Engagement_Summary[[#This Row],[Unfollows]]</f>
        <v>749</v>
      </c>
      <c r="I190">
        <f t="shared" si="5"/>
        <v>541</v>
      </c>
    </row>
    <row r="191" spans="1:9" x14ac:dyDescent="0.25">
      <c r="A191" s="2">
        <v>45887</v>
      </c>
      <c r="B191" s="1" t="s">
        <v>11</v>
      </c>
      <c r="C191">
        <v>541</v>
      </c>
      <c r="D191">
        <v>208</v>
      </c>
      <c r="E191">
        <v>157547</v>
      </c>
      <c r="F191">
        <v>8.35</v>
      </c>
      <c r="G191">
        <v>20162</v>
      </c>
      <c r="H191">
        <f>Engagement_Summary[[#This Row],[New_Followers]]-Engagement_Summary[[#This Row],[Unfollows]]</f>
        <v>333</v>
      </c>
      <c r="I191">
        <f t="shared" si="5"/>
        <v>490</v>
      </c>
    </row>
    <row r="192" spans="1:9" x14ac:dyDescent="0.25">
      <c r="A192" s="2">
        <v>45887</v>
      </c>
      <c r="B192" s="1" t="s">
        <v>17</v>
      </c>
      <c r="C192">
        <v>745</v>
      </c>
      <c r="D192">
        <v>98</v>
      </c>
      <c r="E192">
        <v>354816</v>
      </c>
      <c r="F192">
        <v>4.03</v>
      </c>
      <c r="G192">
        <v>17103</v>
      </c>
      <c r="H192">
        <f>Engagement_Summary[[#This Row],[New_Followers]]-Engagement_Summary[[#This Row],[Unfollows]]</f>
        <v>647</v>
      </c>
      <c r="I192">
        <f t="shared" si="5"/>
        <v>743</v>
      </c>
    </row>
    <row r="193" spans="1:9" x14ac:dyDescent="0.25">
      <c r="A193" s="2">
        <v>45887</v>
      </c>
      <c r="B193" s="1" t="s">
        <v>12</v>
      </c>
      <c r="C193">
        <v>936</v>
      </c>
      <c r="D193">
        <v>97</v>
      </c>
      <c r="E193">
        <v>151799</v>
      </c>
      <c r="F193">
        <v>9.3699999999999992</v>
      </c>
      <c r="G193">
        <v>15461</v>
      </c>
      <c r="H193">
        <f>Engagement_Summary[[#This Row],[New_Followers]]-Engagement_Summary[[#This Row],[Unfollows]]</f>
        <v>839</v>
      </c>
      <c r="I193">
        <f t="shared" si="5"/>
        <v>1003.5</v>
      </c>
    </row>
    <row r="194" spans="1:9" x14ac:dyDescent="0.25">
      <c r="A194" s="2">
        <v>45894</v>
      </c>
      <c r="B194" s="1" t="s">
        <v>17</v>
      </c>
      <c r="C194">
        <v>1413</v>
      </c>
      <c r="D194">
        <v>245</v>
      </c>
      <c r="E194">
        <v>296450</v>
      </c>
      <c r="F194">
        <v>6.52</v>
      </c>
      <c r="G194">
        <v>11625</v>
      </c>
      <c r="H194">
        <f>Engagement_Summary[[#This Row],[New_Followers]]-Engagement_Summary[[#This Row],[Unfollows]]</f>
        <v>1168</v>
      </c>
      <c r="I194">
        <f t="shared" si="5"/>
        <v>1064</v>
      </c>
    </row>
    <row r="195" spans="1:9" x14ac:dyDescent="0.25">
      <c r="A195" s="2">
        <v>45894</v>
      </c>
      <c r="B195" s="1" t="s">
        <v>11</v>
      </c>
      <c r="C195">
        <v>1183</v>
      </c>
      <c r="D195">
        <v>223</v>
      </c>
      <c r="E195">
        <v>143811</v>
      </c>
      <c r="F195">
        <v>6.07</v>
      </c>
      <c r="G195">
        <v>22103</v>
      </c>
      <c r="H195">
        <f>Engagement_Summary[[#This Row],[New_Followers]]-Engagement_Summary[[#This Row],[Unfollows]]</f>
        <v>960</v>
      </c>
      <c r="I195">
        <f t="shared" ref="I195:I200" si="6">AVERAGE(H195:H196)</f>
        <v>739</v>
      </c>
    </row>
    <row r="196" spans="1:9" x14ac:dyDescent="0.25">
      <c r="A196" s="2">
        <v>45894</v>
      </c>
      <c r="B196" s="1" t="s">
        <v>12</v>
      </c>
      <c r="C196">
        <v>791</v>
      </c>
      <c r="D196">
        <v>273</v>
      </c>
      <c r="E196">
        <v>144049</v>
      </c>
      <c r="F196">
        <v>3.08</v>
      </c>
      <c r="G196">
        <v>5281</v>
      </c>
      <c r="H196">
        <f>Engagement_Summary[[#This Row],[New_Followers]]-Engagement_Summary[[#This Row],[Unfollows]]</f>
        <v>518</v>
      </c>
      <c r="I196">
        <f t="shared" si="6"/>
        <v>410</v>
      </c>
    </row>
    <row r="197" spans="1:9" x14ac:dyDescent="0.25">
      <c r="A197" s="2">
        <v>45901</v>
      </c>
      <c r="B197" s="1" t="s">
        <v>17</v>
      </c>
      <c r="C197">
        <v>572</v>
      </c>
      <c r="D197">
        <v>270</v>
      </c>
      <c r="E197">
        <v>82265</v>
      </c>
      <c r="F197">
        <v>3.65</v>
      </c>
      <c r="G197">
        <v>13140</v>
      </c>
      <c r="H197">
        <f>Engagement_Summary[[#This Row],[New_Followers]]-Engagement_Summary[[#This Row],[Unfollows]]</f>
        <v>302</v>
      </c>
      <c r="I197">
        <f t="shared" si="6"/>
        <v>587</v>
      </c>
    </row>
    <row r="198" spans="1:9" x14ac:dyDescent="0.25">
      <c r="A198" s="2">
        <v>45901</v>
      </c>
      <c r="B198" s="1" t="s">
        <v>11</v>
      </c>
      <c r="C198">
        <v>1052</v>
      </c>
      <c r="D198">
        <v>180</v>
      </c>
      <c r="E198">
        <v>272534</v>
      </c>
      <c r="F198">
        <v>5.34</v>
      </c>
      <c r="G198">
        <v>13424</v>
      </c>
      <c r="H198">
        <f>Engagement_Summary[[#This Row],[New_Followers]]-Engagement_Summary[[#This Row],[Unfollows]]</f>
        <v>872</v>
      </c>
      <c r="I198">
        <f t="shared" si="6"/>
        <v>561</v>
      </c>
    </row>
    <row r="199" spans="1:9" x14ac:dyDescent="0.25">
      <c r="A199" s="2">
        <v>45901</v>
      </c>
      <c r="B199" s="1" t="s">
        <v>12</v>
      </c>
      <c r="C199">
        <v>503</v>
      </c>
      <c r="D199">
        <v>253</v>
      </c>
      <c r="E199">
        <v>313562</v>
      </c>
      <c r="F199">
        <v>4.18</v>
      </c>
      <c r="G199">
        <v>19538</v>
      </c>
      <c r="H199">
        <f>Engagement_Summary[[#This Row],[New_Followers]]-Engagement_Summary[[#This Row],[Unfollows]]</f>
        <v>250</v>
      </c>
      <c r="I199">
        <f t="shared" si="6"/>
        <v>535</v>
      </c>
    </row>
    <row r="200" spans="1:9" x14ac:dyDescent="0.25">
      <c r="A200" s="2">
        <v>45908</v>
      </c>
      <c r="B200" s="1" t="s">
        <v>11</v>
      </c>
      <c r="C200">
        <v>1017</v>
      </c>
      <c r="D200">
        <v>197</v>
      </c>
      <c r="E200">
        <v>89918</v>
      </c>
      <c r="F200">
        <v>3.91</v>
      </c>
      <c r="G200">
        <v>7881</v>
      </c>
      <c r="H200">
        <f>Engagement_Summary[[#This Row],[New_Followers]]-Engagement_Summary[[#This Row],[Unfollows]]</f>
        <v>820</v>
      </c>
      <c r="I200">
        <f t="shared" si="6"/>
        <v>718</v>
      </c>
    </row>
    <row r="201" spans="1:9" x14ac:dyDescent="0.25">
      <c r="A201" s="2">
        <v>45908</v>
      </c>
      <c r="B201" s="1" t="s">
        <v>17</v>
      </c>
      <c r="C201">
        <v>860</v>
      </c>
      <c r="D201">
        <v>244</v>
      </c>
      <c r="E201">
        <v>348686</v>
      </c>
      <c r="F201">
        <v>5.12</v>
      </c>
      <c r="G201">
        <v>11418</v>
      </c>
      <c r="H201">
        <f>Engagement_Summary[[#This Row],[New_Followers]]-Engagement_Summary[[#This Row],[Unfollows]]</f>
        <v>616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1A8FA-E807-49CA-8362-786D033E1FEF}">
  <sheetPr codeName="Sheet3"/>
  <dimension ref="A1:U308"/>
  <sheetViews>
    <sheetView workbookViewId="0">
      <selection activeCell="R2" sqref="R2"/>
    </sheetView>
  </sheetViews>
  <sheetFormatPr defaultRowHeight="15" x14ac:dyDescent="0.25"/>
  <cols>
    <col min="1" max="1" width="9.7109375" bestFit="1" customWidth="1"/>
    <col min="2" max="2" width="11" bestFit="1" customWidth="1"/>
    <col min="3" max="3" width="10.42578125" bestFit="1" customWidth="1"/>
    <col min="4" max="4" width="15.5703125" bestFit="1" customWidth="1"/>
    <col min="5" max="5" width="36.42578125" bestFit="1" customWidth="1"/>
    <col min="6" max="6" width="8" bestFit="1" customWidth="1"/>
    <col min="7" max="7" width="9.42578125" bestFit="1" customWidth="1"/>
    <col min="8" max="8" width="13.28515625" bestFit="1" customWidth="1"/>
    <col min="9" max="9" width="14.42578125" bestFit="1" customWidth="1"/>
    <col min="10" max="11" width="8.85546875" bestFit="1" customWidth="1"/>
    <col min="12" max="13" width="18.28515625" bestFit="1" customWidth="1"/>
    <col min="14" max="14" width="18.5703125" bestFit="1" customWidth="1"/>
    <col min="15" max="15" width="18.85546875" bestFit="1" customWidth="1"/>
    <col min="16" max="16" width="17" bestFit="1" customWidth="1"/>
    <col min="17" max="17" width="12.28515625" bestFit="1" customWidth="1"/>
    <col min="18" max="18" width="18.5703125" customWidth="1"/>
    <col min="19" max="19" width="19.7109375" bestFit="1" customWidth="1"/>
    <col min="20" max="20" width="17.28515625" customWidth="1"/>
    <col min="21" max="21" width="12.7109375" bestFit="1" customWidth="1"/>
    <col min="22" max="23" width="16.42578125" bestFit="1" customWidth="1"/>
    <col min="24" max="24" width="19.140625" bestFit="1" customWidth="1"/>
    <col min="25" max="26" width="21.140625" bestFit="1" customWidth="1"/>
  </cols>
  <sheetData>
    <row r="1" spans="1:21" x14ac:dyDescent="0.25">
      <c r="A1" t="s">
        <v>35</v>
      </c>
      <c r="B1" t="s">
        <v>29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0</v>
      </c>
      <c r="O1" t="s">
        <v>30</v>
      </c>
      <c r="P1" t="s">
        <v>31</v>
      </c>
      <c r="Q1" t="s">
        <v>34</v>
      </c>
      <c r="R1" t="s">
        <v>377</v>
      </c>
      <c r="S1" t="s">
        <v>376</v>
      </c>
      <c r="T1" t="s">
        <v>450</v>
      </c>
      <c r="U1" t="s">
        <v>473</v>
      </c>
    </row>
    <row r="2" spans="1:21" x14ac:dyDescent="0.25">
      <c r="A2" s="1" t="s">
        <v>47</v>
      </c>
      <c r="B2" s="1" t="s">
        <v>12</v>
      </c>
      <c r="C2" s="2">
        <v>45292</v>
      </c>
      <c r="D2" s="1" t="s">
        <v>48</v>
      </c>
      <c r="E2" t="s">
        <v>49</v>
      </c>
      <c r="F2">
        <v>3437</v>
      </c>
      <c r="G2">
        <v>129</v>
      </c>
      <c r="H2">
        <v>359</v>
      </c>
      <c r="I2">
        <v>44558</v>
      </c>
      <c r="J2">
        <v>30854</v>
      </c>
      <c r="K2">
        <v>171</v>
      </c>
      <c r="L2" s="1" t="s">
        <v>26</v>
      </c>
      <c r="M2" s="1" t="s">
        <v>22</v>
      </c>
      <c r="N2" s="1" t="s">
        <v>9</v>
      </c>
      <c r="O2">
        <v>1472</v>
      </c>
      <c r="P2">
        <v>296</v>
      </c>
      <c r="Q2">
        <v>7810</v>
      </c>
      <c r="R2" s="33">
        <f>(Posts[[#This Row],[Likes]]+Posts[[#This Row],[Comments]]+Posts[[#This Row],[Shares]])/Posts[[#This Row],[Impressions]]*100</f>
        <v>8.8087436599488314</v>
      </c>
      <c r="S2">
        <v>143</v>
      </c>
      <c r="T2">
        <f>Posts[[#This Row],[New_Followers]]-Posts[[#This Row],[Unfollows]]</f>
        <v>1176</v>
      </c>
      <c r="U2" s="32">
        <f>Posts[[#This Row],[Engagement Rate]]/Posts[[#This Row],[Ad_Spend]]</f>
        <v>1.1278801101086851E-3</v>
      </c>
    </row>
    <row r="3" spans="1:21" x14ac:dyDescent="0.25">
      <c r="A3" s="1" t="s">
        <v>50</v>
      </c>
      <c r="B3" s="1" t="s">
        <v>17</v>
      </c>
      <c r="C3" s="2">
        <v>45295</v>
      </c>
      <c r="D3" s="1" t="s">
        <v>51</v>
      </c>
      <c r="E3" t="s">
        <v>436</v>
      </c>
      <c r="F3">
        <v>3208</v>
      </c>
      <c r="G3">
        <v>476</v>
      </c>
      <c r="H3">
        <v>277</v>
      </c>
      <c r="I3">
        <v>56072</v>
      </c>
      <c r="J3">
        <v>21061</v>
      </c>
      <c r="K3">
        <v>113</v>
      </c>
      <c r="L3" s="1" t="s">
        <v>14</v>
      </c>
      <c r="M3" s="1" t="s">
        <v>18</v>
      </c>
      <c r="N3" s="1" t="s">
        <v>19</v>
      </c>
      <c r="O3">
        <v>995</v>
      </c>
      <c r="P3">
        <v>86</v>
      </c>
      <c r="Q3">
        <v>22788</v>
      </c>
      <c r="R3" s="33">
        <f>(Posts[[#This Row],[Likes]]+Posts[[#This Row],[Comments]]+Posts[[#This Row],[Shares]])/Posts[[#This Row],[Impressions]]*100</f>
        <v>7.064131830503638</v>
      </c>
      <c r="S3">
        <v>200</v>
      </c>
      <c r="T3">
        <f>Posts[[#This Row],[New_Followers]]-Posts[[#This Row],[Unfollows]]</f>
        <v>909</v>
      </c>
      <c r="U3" s="32">
        <f>Posts[[#This Row],[Engagement Rate]]/Posts[[#This Row],[Ad_Spend]]</f>
        <v>3.0999349791572926E-4</v>
      </c>
    </row>
    <row r="4" spans="1:21" x14ac:dyDescent="0.25">
      <c r="A4" s="1" t="s">
        <v>53</v>
      </c>
      <c r="B4" s="1" t="s">
        <v>11</v>
      </c>
      <c r="C4" s="2">
        <v>45298</v>
      </c>
      <c r="D4" s="1" t="s">
        <v>54</v>
      </c>
      <c r="E4" t="s">
        <v>55</v>
      </c>
      <c r="F4">
        <v>4931</v>
      </c>
      <c r="G4">
        <v>469</v>
      </c>
      <c r="H4">
        <v>193</v>
      </c>
      <c r="I4">
        <v>56701</v>
      </c>
      <c r="J4">
        <v>69437</v>
      </c>
      <c r="K4">
        <v>291</v>
      </c>
      <c r="L4" s="1" t="s">
        <v>22</v>
      </c>
      <c r="M4" s="1" t="s">
        <v>18</v>
      </c>
      <c r="N4" s="1" t="s">
        <v>19</v>
      </c>
      <c r="O4">
        <v>1402</v>
      </c>
      <c r="P4">
        <v>68</v>
      </c>
      <c r="Q4">
        <v>23125</v>
      </c>
      <c r="R4" s="33">
        <f>(Posts[[#This Row],[Likes]]+Posts[[#This Row],[Comments]]+Posts[[#This Row],[Shares]])/Posts[[#This Row],[Impressions]]*100</f>
        <v>9.8640235621946708</v>
      </c>
      <c r="S4">
        <v>110</v>
      </c>
      <c r="T4">
        <f>Posts[[#This Row],[New_Followers]]-Posts[[#This Row],[Unfollows]]</f>
        <v>1334</v>
      </c>
      <c r="U4" s="32">
        <f>Posts[[#This Row],[Engagement Rate]]/Posts[[#This Row],[Ad_Spend]]</f>
        <v>4.2655237025706683E-4</v>
      </c>
    </row>
    <row r="5" spans="1:21" x14ac:dyDescent="0.25">
      <c r="A5" s="1" t="s">
        <v>56</v>
      </c>
      <c r="B5" s="1" t="s">
        <v>11</v>
      </c>
      <c r="C5" s="2">
        <v>45299</v>
      </c>
      <c r="D5" s="1" t="s">
        <v>54</v>
      </c>
      <c r="E5" t="s">
        <v>55</v>
      </c>
      <c r="F5">
        <v>2683</v>
      </c>
      <c r="G5">
        <v>405</v>
      </c>
      <c r="H5">
        <v>223</v>
      </c>
      <c r="I5">
        <v>31233</v>
      </c>
      <c r="J5">
        <v>58106</v>
      </c>
      <c r="K5">
        <v>291</v>
      </c>
      <c r="L5" s="1" t="s">
        <v>26</v>
      </c>
      <c r="M5" s="1" t="s">
        <v>57</v>
      </c>
      <c r="N5" s="1" t="s">
        <v>23</v>
      </c>
      <c r="O5">
        <v>1402</v>
      </c>
      <c r="P5">
        <v>68</v>
      </c>
      <c r="Q5">
        <v>23125</v>
      </c>
      <c r="R5" s="33">
        <f>(Posts[[#This Row],[Likes]]+Posts[[#This Row],[Comments]]+Posts[[#This Row],[Shares]])/Posts[[#This Row],[Impressions]]*100</f>
        <v>10.600966926007748</v>
      </c>
      <c r="S5">
        <v>95</v>
      </c>
      <c r="T5">
        <f>Posts[[#This Row],[New_Followers]]-Posts[[#This Row],[Unfollows]]</f>
        <v>1334</v>
      </c>
      <c r="U5" s="32">
        <f>Posts[[#This Row],[Engagement Rate]]/Posts[[#This Row],[Ad_Spend]]</f>
        <v>4.5842019139492965E-4</v>
      </c>
    </row>
    <row r="6" spans="1:21" x14ac:dyDescent="0.25">
      <c r="A6" s="1" t="s">
        <v>58</v>
      </c>
      <c r="B6" s="1" t="s">
        <v>12</v>
      </c>
      <c r="C6" s="2">
        <v>45301</v>
      </c>
      <c r="D6" s="1" t="s">
        <v>54</v>
      </c>
      <c r="E6" t="s">
        <v>49</v>
      </c>
      <c r="F6">
        <v>1261</v>
      </c>
      <c r="G6">
        <v>190</v>
      </c>
      <c r="H6">
        <v>233</v>
      </c>
      <c r="I6">
        <v>59888</v>
      </c>
      <c r="J6">
        <v>51449</v>
      </c>
      <c r="K6">
        <v>205</v>
      </c>
      <c r="L6" s="1" t="s">
        <v>26</v>
      </c>
      <c r="M6" s="1" t="s">
        <v>13</v>
      </c>
      <c r="N6" s="1" t="s">
        <v>23</v>
      </c>
      <c r="O6">
        <v>1472</v>
      </c>
      <c r="P6">
        <v>296</v>
      </c>
      <c r="Q6">
        <v>7810</v>
      </c>
      <c r="R6" s="33">
        <f>(Posts[[#This Row],[Likes]]+Posts[[#This Row],[Comments]]+Posts[[#This Row],[Shares]])/Posts[[#This Row],[Impressions]]*100</f>
        <v>2.8119155757413838</v>
      </c>
      <c r="S6">
        <v>298</v>
      </c>
      <c r="T6">
        <f>Posts[[#This Row],[New_Followers]]-Posts[[#This Row],[Unfollows]]</f>
        <v>1176</v>
      </c>
      <c r="U6" s="32">
        <f>Posts[[#This Row],[Engagement Rate]]/Posts[[#This Row],[Ad_Spend]]</f>
        <v>3.6004040662501713E-4</v>
      </c>
    </row>
    <row r="7" spans="1:21" x14ac:dyDescent="0.25">
      <c r="A7" s="1" t="s">
        <v>59</v>
      </c>
      <c r="B7" s="1" t="s">
        <v>17</v>
      </c>
      <c r="C7" s="2">
        <v>45302</v>
      </c>
      <c r="D7" s="1" t="s">
        <v>54</v>
      </c>
      <c r="E7" t="s">
        <v>437</v>
      </c>
      <c r="F7">
        <v>4218</v>
      </c>
      <c r="G7">
        <v>247</v>
      </c>
      <c r="H7">
        <v>183</v>
      </c>
      <c r="I7">
        <v>28914</v>
      </c>
      <c r="J7">
        <v>18310</v>
      </c>
      <c r="K7">
        <v>135</v>
      </c>
      <c r="L7" s="1" t="s">
        <v>22</v>
      </c>
      <c r="M7" s="1" t="s">
        <v>57</v>
      </c>
      <c r="N7" s="1" t="s">
        <v>23</v>
      </c>
      <c r="O7">
        <v>995</v>
      </c>
      <c r="P7">
        <v>86</v>
      </c>
      <c r="Q7">
        <v>22788</v>
      </c>
      <c r="R7" s="33">
        <f>(Posts[[#This Row],[Likes]]+Posts[[#This Row],[Comments]]+Posts[[#This Row],[Shares]])/Posts[[#This Row],[Impressions]]*100</f>
        <v>16.07525766064882</v>
      </c>
      <c r="S7">
        <v>28</v>
      </c>
      <c r="T7">
        <f>Posts[[#This Row],[New_Followers]]-Posts[[#This Row],[Unfollows]]</f>
        <v>909</v>
      </c>
      <c r="U7" s="32">
        <f>Posts[[#This Row],[Engagement Rate]]/Posts[[#This Row],[Ad_Spend]]</f>
        <v>7.0542643762720812E-4</v>
      </c>
    </row>
    <row r="8" spans="1:21" x14ac:dyDescent="0.25">
      <c r="A8" s="1" t="s">
        <v>60</v>
      </c>
      <c r="B8" s="1" t="s">
        <v>17</v>
      </c>
      <c r="C8" s="2">
        <v>45302</v>
      </c>
      <c r="D8" s="1" t="s">
        <v>51</v>
      </c>
      <c r="E8" t="s">
        <v>436</v>
      </c>
      <c r="F8">
        <v>2340</v>
      </c>
      <c r="G8">
        <v>141</v>
      </c>
      <c r="H8">
        <v>206</v>
      </c>
      <c r="I8">
        <v>24916</v>
      </c>
      <c r="J8">
        <v>30582</v>
      </c>
      <c r="K8">
        <v>157</v>
      </c>
      <c r="L8" s="1" t="s">
        <v>22</v>
      </c>
      <c r="M8" s="1" t="s">
        <v>18</v>
      </c>
      <c r="N8" s="1" t="s">
        <v>19</v>
      </c>
      <c r="O8">
        <v>995</v>
      </c>
      <c r="P8">
        <v>86</v>
      </c>
      <c r="Q8">
        <v>22788</v>
      </c>
      <c r="R8" s="33">
        <f>(Posts[[#This Row],[Likes]]+Posts[[#This Row],[Comments]]+Posts[[#This Row],[Shares]])/Posts[[#This Row],[Impressions]]*100</f>
        <v>10.784235029699792</v>
      </c>
      <c r="S8">
        <v>88</v>
      </c>
      <c r="T8">
        <f>Posts[[#This Row],[New_Followers]]-Posts[[#This Row],[Unfollows]]</f>
        <v>909</v>
      </c>
      <c r="U8" s="32">
        <f>Posts[[#This Row],[Engagement Rate]]/Posts[[#This Row],[Ad_Spend]]</f>
        <v>4.7324183911268174E-4</v>
      </c>
    </row>
    <row r="9" spans="1:21" x14ac:dyDescent="0.25">
      <c r="A9" s="1" t="s">
        <v>62</v>
      </c>
      <c r="B9" s="1" t="s">
        <v>17</v>
      </c>
      <c r="C9" s="2">
        <v>45303</v>
      </c>
      <c r="D9" s="1" t="s">
        <v>51</v>
      </c>
      <c r="E9" t="s">
        <v>437</v>
      </c>
      <c r="F9">
        <v>2227</v>
      </c>
      <c r="G9">
        <v>494</v>
      </c>
      <c r="H9">
        <v>161</v>
      </c>
      <c r="I9">
        <v>51651</v>
      </c>
      <c r="J9">
        <v>68074</v>
      </c>
      <c r="K9">
        <v>240</v>
      </c>
      <c r="L9" s="1" t="s">
        <v>26</v>
      </c>
      <c r="M9" s="1" t="s">
        <v>14</v>
      </c>
      <c r="N9" s="1" t="s">
        <v>19</v>
      </c>
      <c r="O9">
        <v>995</v>
      </c>
      <c r="P9">
        <v>86</v>
      </c>
      <c r="Q9">
        <v>22788</v>
      </c>
      <c r="R9" s="33">
        <f>(Posts[[#This Row],[Likes]]+Posts[[#This Row],[Comments]]+Posts[[#This Row],[Shares]])/Posts[[#This Row],[Impressions]]*100</f>
        <v>5.5797564422760448</v>
      </c>
      <c r="S9">
        <v>235</v>
      </c>
      <c r="T9">
        <f>Posts[[#This Row],[New_Followers]]-Posts[[#This Row],[Unfollows]]</f>
        <v>909</v>
      </c>
      <c r="U9" s="32">
        <f>Posts[[#This Row],[Engagement Rate]]/Posts[[#This Row],[Ad_Spend]]</f>
        <v>2.4485503081780083E-4</v>
      </c>
    </row>
    <row r="10" spans="1:21" x14ac:dyDescent="0.25">
      <c r="A10" s="1" t="s">
        <v>63</v>
      </c>
      <c r="B10" s="1" t="s">
        <v>12</v>
      </c>
      <c r="C10" s="2">
        <v>45304</v>
      </c>
      <c r="D10" s="1" t="s">
        <v>48</v>
      </c>
      <c r="E10" t="s">
        <v>438</v>
      </c>
      <c r="F10">
        <v>4781</v>
      </c>
      <c r="G10">
        <v>191</v>
      </c>
      <c r="H10">
        <v>122</v>
      </c>
      <c r="I10">
        <v>35535</v>
      </c>
      <c r="J10">
        <v>50777</v>
      </c>
      <c r="K10">
        <v>128</v>
      </c>
      <c r="L10" s="1" t="s">
        <v>26</v>
      </c>
      <c r="M10" s="1" t="s">
        <v>22</v>
      </c>
      <c r="N10" s="1" t="s">
        <v>9</v>
      </c>
      <c r="O10">
        <v>1472</v>
      </c>
      <c r="P10">
        <v>296</v>
      </c>
      <c r="Q10">
        <v>7810</v>
      </c>
      <c r="R10" s="33">
        <f>(Posts[[#This Row],[Likes]]+Posts[[#This Row],[Comments]]+Posts[[#This Row],[Shares]])/Posts[[#This Row],[Impressions]]*100</f>
        <v>14.335162515829463</v>
      </c>
      <c r="S10">
        <v>44</v>
      </c>
      <c r="T10">
        <f>Posts[[#This Row],[New_Followers]]-Posts[[#This Row],[Unfollows]]</f>
        <v>1176</v>
      </c>
      <c r="U10" s="32">
        <f>Posts[[#This Row],[Engagement Rate]]/Posts[[#This Row],[Ad_Spend]]</f>
        <v>1.835488158236807E-3</v>
      </c>
    </row>
    <row r="11" spans="1:21" x14ac:dyDescent="0.25">
      <c r="A11" s="1" t="s">
        <v>65</v>
      </c>
      <c r="B11" s="1" t="s">
        <v>12</v>
      </c>
      <c r="C11" s="2">
        <v>45305</v>
      </c>
      <c r="D11" s="1" t="s">
        <v>54</v>
      </c>
      <c r="E11" t="s">
        <v>438</v>
      </c>
      <c r="F11">
        <v>3634</v>
      </c>
      <c r="G11">
        <v>280</v>
      </c>
      <c r="H11">
        <v>399</v>
      </c>
      <c r="I11">
        <v>40256</v>
      </c>
      <c r="J11">
        <v>52605</v>
      </c>
      <c r="K11">
        <v>213</v>
      </c>
      <c r="L11" s="1" t="s">
        <v>26</v>
      </c>
      <c r="M11" s="1" t="s">
        <v>13</v>
      </c>
      <c r="N11" s="1" t="s">
        <v>23</v>
      </c>
      <c r="O11">
        <v>1472</v>
      </c>
      <c r="P11">
        <v>296</v>
      </c>
      <c r="Q11">
        <v>7810</v>
      </c>
      <c r="R11" s="33">
        <f>(Posts[[#This Row],[Likes]]+Posts[[#This Row],[Comments]]+Posts[[#This Row],[Shares]])/Posts[[#This Row],[Impressions]]*100</f>
        <v>10.713930842607313</v>
      </c>
      <c r="S11">
        <v>91</v>
      </c>
      <c r="T11">
        <f>Posts[[#This Row],[New_Followers]]-Posts[[#This Row],[Unfollows]]</f>
        <v>1176</v>
      </c>
      <c r="U11" s="32">
        <f>Posts[[#This Row],[Engagement Rate]]/Posts[[#This Row],[Ad_Spend]]</f>
        <v>1.3718221309356356E-3</v>
      </c>
    </row>
    <row r="12" spans="1:21" x14ac:dyDescent="0.25">
      <c r="A12" s="1" t="s">
        <v>66</v>
      </c>
      <c r="B12" s="1" t="s">
        <v>12</v>
      </c>
      <c r="C12" s="2">
        <v>45305</v>
      </c>
      <c r="D12" s="1" t="s">
        <v>54</v>
      </c>
      <c r="E12" t="s">
        <v>436</v>
      </c>
      <c r="F12">
        <v>4502</v>
      </c>
      <c r="G12">
        <v>238</v>
      </c>
      <c r="H12">
        <v>386</v>
      </c>
      <c r="I12">
        <v>39198</v>
      </c>
      <c r="J12">
        <v>25050</v>
      </c>
      <c r="K12">
        <v>297</v>
      </c>
      <c r="L12" s="1" t="s">
        <v>26</v>
      </c>
      <c r="M12" s="1" t="s">
        <v>13</v>
      </c>
      <c r="N12" s="1" t="s">
        <v>23</v>
      </c>
      <c r="O12">
        <v>1472</v>
      </c>
      <c r="P12">
        <v>296</v>
      </c>
      <c r="Q12">
        <v>7810</v>
      </c>
      <c r="R12" s="33">
        <f>(Posts[[#This Row],[Likes]]+Posts[[#This Row],[Comments]]+Posts[[#This Row],[Shares]])/Posts[[#This Row],[Impressions]]*100</f>
        <v>13.077197816215113</v>
      </c>
      <c r="S12">
        <v>55</v>
      </c>
      <c r="T12">
        <f>Posts[[#This Row],[New_Followers]]-Posts[[#This Row],[Unfollows]]</f>
        <v>1176</v>
      </c>
      <c r="U12" s="32">
        <f>Posts[[#This Row],[Engagement Rate]]/Posts[[#This Row],[Ad_Spend]]</f>
        <v>1.6744171339584011E-3</v>
      </c>
    </row>
    <row r="13" spans="1:21" x14ac:dyDescent="0.25">
      <c r="A13" s="1" t="s">
        <v>67</v>
      </c>
      <c r="B13" s="1" t="s">
        <v>17</v>
      </c>
      <c r="C13" s="2">
        <v>45308</v>
      </c>
      <c r="D13" s="1" t="s">
        <v>51</v>
      </c>
      <c r="E13" t="s">
        <v>438</v>
      </c>
      <c r="F13">
        <v>2174</v>
      </c>
      <c r="G13">
        <v>499</v>
      </c>
      <c r="H13">
        <v>212</v>
      </c>
      <c r="I13">
        <v>54938</v>
      </c>
      <c r="J13">
        <v>27190</v>
      </c>
      <c r="K13">
        <v>265</v>
      </c>
      <c r="L13" s="1" t="s">
        <v>14</v>
      </c>
      <c r="M13" s="1" t="s">
        <v>18</v>
      </c>
      <c r="N13" s="1" t="s">
        <v>19</v>
      </c>
      <c r="O13">
        <v>995</v>
      </c>
      <c r="P13">
        <v>86</v>
      </c>
      <c r="Q13">
        <v>22788</v>
      </c>
      <c r="R13" s="33">
        <f>(Posts[[#This Row],[Likes]]+Posts[[#This Row],[Comments]]+Posts[[#This Row],[Shares]])/Posts[[#This Row],[Impressions]]*100</f>
        <v>5.2513742764570974</v>
      </c>
      <c r="S13">
        <v>245</v>
      </c>
      <c r="T13">
        <f>Posts[[#This Row],[New_Followers]]-Posts[[#This Row],[Unfollows]]</f>
        <v>909</v>
      </c>
      <c r="U13" s="32">
        <f>Posts[[#This Row],[Engagement Rate]]/Posts[[#This Row],[Ad_Spend]]</f>
        <v>2.3044471987261267E-4</v>
      </c>
    </row>
    <row r="14" spans="1:21" x14ac:dyDescent="0.25">
      <c r="A14" s="1" t="s">
        <v>68</v>
      </c>
      <c r="B14" s="1" t="s">
        <v>17</v>
      </c>
      <c r="C14" s="2">
        <v>45312</v>
      </c>
      <c r="D14" s="1" t="s">
        <v>51</v>
      </c>
      <c r="E14" t="s">
        <v>69</v>
      </c>
      <c r="F14">
        <v>2383</v>
      </c>
      <c r="G14">
        <v>136</v>
      </c>
      <c r="H14">
        <v>302</v>
      </c>
      <c r="I14">
        <v>39187</v>
      </c>
      <c r="J14">
        <v>22133</v>
      </c>
      <c r="K14">
        <v>208</v>
      </c>
      <c r="L14" s="1" t="s">
        <v>14</v>
      </c>
      <c r="M14" s="1" t="s">
        <v>18</v>
      </c>
      <c r="N14" s="1" t="s">
        <v>19</v>
      </c>
      <c r="O14">
        <v>995</v>
      </c>
      <c r="P14">
        <v>86</v>
      </c>
      <c r="Q14">
        <v>22788</v>
      </c>
      <c r="R14" s="33">
        <f>(Posts[[#This Row],[Likes]]+Posts[[#This Row],[Comments]]+Posts[[#This Row],[Shares]])/Posts[[#This Row],[Impressions]]*100</f>
        <v>7.1988159338556148</v>
      </c>
      <c r="S14">
        <v>196</v>
      </c>
      <c r="T14">
        <f>Posts[[#This Row],[New_Followers]]-Posts[[#This Row],[Unfollows]]</f>
        <v>909</v>
      </c>
      <c r="U14" s="32">
        <f>Posts[[#This Row],[Engagement Rate]]/Posts[[#This Row],[Ad_Spend]]</f>
        <v>3.1590380611969522E-4</v>
      </c>
    </row>
    <row r="15" spans="1:21" x14ac:dyDescent="0.25">
      <c r="A15" s="1" t="s">
        <v>70</v>
      </c>
      <c r="B15" s="1" t="s">
        <v>17</v>
      </c>
      <c r="C15" s="2">
        <v>45313</v>
      </c>
      <c r="D15" s="1" t="s">
        <v>51</v>
      </c>
      <c r="E15" t="s">
        <v>439</v>
      </c>
      <c r="F15">
        <v>1554</v>
      </c>
      <c r="G15">
        <v>455</v>
      </c>
      <c r="H15">
        <v>158</v>
      </c>
      <c r="I15">
        <v>41947</v>
      </c>
      <c r="J15">
        <v>48578</v>
      </c>
      <c r="K15">
        <v>101</v>
      </c>
      <c r="L15" s="1" t="s">
        <v>22</v>
      </c>
      <c r="M15" s="1" t="s">
        <v>18</v>
      </c>
      <c r="N15" s="1" t="s">
        <v>19</v>
      </c>
      <c r="O15">
        <v>995</v>
      </c>
      <c r="P15">
        <v>86</v>
      </c>
      <c r="Q15">
        <v>22788</v>
      </c>
      <c r="R15" s="33">
        <f>(Posts[[#This Row],[Likes]]+Posts[[#This Row],[Comments]]+Posts[[#This Row],[Shares]])/Posts[[#This Row],[Impressions]]*100</f>
        <v>5.1660428636136073</v>
      </c>
      <c r="S15">
        <v>252</v>
      </c>
      <c r="T15">
        <f>Posts[[#This Row],[New_Followers]]-Posts[[#This Row],[Unfollows]]</f>
        <v>909</v>
      </c>
      <c r="U15" s="32">
        <f>Posts[[#This Row],[Engagement Rate]]/Posts[[#This Row],[Ad_Spend]]</f>
        <v>2.2670014321632471E-4</v>
      </c>
    </row>
    <row r="16" spans="1:21" x14ac:dyDescent="0.25">
      <c r="A16" s="1" t="s">
        <v>72</v>
      </c>
      <c r="B16" s="1" t="s">
        <v>11</v>
      </c>
      <c r="C16" s="2">
        <v>45317</v>
      </c>
      <c r="D16" s="1" t="s">
        <v>54</v>
      </c>
      <c r="E16" t="s">
        <v>436</v>
      </c>
      <c r="F16">
        <v>3878</v>
      </c>
      <c r="G16">
        <v>431</v>
      </c>
      <c r="H16">
        <v>97</v>
      </c>
      <c r="I16">
        <v>41763</v>
      </c>
      <c r="J16">
        <v>29729</v>
      </c>
      <c r="K16">
        <v>191</v>
      </c>
      <c r="L16" s="1" t="s">
        <v>26</v>
      </c>
      <c r="M16" s="1" t="s">
        <v>57</v>
      </c>
      <c r="N16" s="1" t="s">
        <v>23</v>
      </c>
      <c r="O16">
        <v>1402</v>
      </c>
      <c r="P16">
        <v>68</v>
      </c>
      <c r="Q16">
        <v>23125</v>
      </c>
      <c r="R16" s="33">
        <f>(Posts[[#This Row],[Likes]]+Posts[[#This Row],[Comments]]+Posts[[#This Row],[Shares]])/Posts[[#This Row],[Impressions]]*100</f>
        <v>10.550008380623996</v>
      </c>
      <c r="S16">
        <v>96</v>
      </c>
      <c r="T16">
        <f>Posts[[#This Row],[New_Followers]]-Posts[[#This Row],[Unfollows]]</f>
        <v>1334</v>
      </c>
      <c r="U16" s="32">
        <f>Posts[[#This Row],[Engagement Rate]]/Posts[[#This Row],[Ad_Spend]]</f>
        <v>4.5621657862157823E-4</v>
      </c>
    </row>
    <row r="17" spans="1:21" x14ac:dyDescent="0.25">
      <c r="A17" s="1" t="s">
        <v>73</v>
      </c>
      <c r="B17" s="1" t="s">
        <v>12</v>
      </c>
      <c r="C17" s="2">
        <v>45318</v>
      </c>
      <c r="D17" s="1" t="s">
        <v>54</v>
      </c>
      <c r="E17" t="s">
        <v>74</v>
      </c>
      <c r="F17">
        <v>1976</v>
      </c>
      <c r="G17">
        <v>262</v>
      </c>
      <c r="H17">
        <v>218</v>
      </c>
      <c r="I17">
        <v>51696</v>
      </c>
      <c r="J17">
        <v>44846</v>
      </c>
      <c r="K17">
        <v>139</v>
      </c>
      <c r="L17" s="1" t="s">
        <v>26</v>
      </c>
      <c r="M17" s="1" t="s">
        <v>13</v>
      </c>
      <c r="N17" s="1" t="s">
        <v>23</v>
      </c>
      <c r="O17">
        <v>1472</v>
      </c>
      <c r="P17">
        <v>296</v>
      </c>
      <c r="Q17">
        <v>7810</v>
      </c>
      <c r="R17" s="33">
        <f>(Posts[[#This Row],[Likes]]+Posts[[#This Row],[Comments]]+Posts[[#This Row],[Shares]])/Posts[[#This Row],[Impressions]]*100</f>
        <v>4.7508511296812133</v>
      </c>
      <c r="S17">
        <v>260</v>
      </c>
      <c r="T17">
        <f>Posts[[#This Row],[New_Followers]]-Posts[[#This Row],[Unfollows]]</f>
        <v>1176</v>
      </c>
      <c r="U17" s="32">
        <f>Posts[[#This Row],[Engagement Rate]]/Posts[[#This Row],[Ad_Spend]]</f>
        <v>6.0830360175175588E-4</v>
      </c>
    </row>
    <row r="18" spans="1:21" x14ac:dyDescent="0.25">
      <c r="A18" s="1" t="s">
        <v>75</v>
      </c>
      <c r="B18" s="1" t="s">
        <v>17</v>
      </c>
      <c r="C18" s="2">
        <v>45319</v>
      </c>
      <c r="D18" s="1" t="s">
        <v>54</v>
      </c>
      <c r="E18" t="s">
        <v>435</v>
      </c>
      <c r="F18">
        <v>1456</v>
      </c>
      <c r="G18">
        <v>265</v>
      </c>
      <c r="H18">
        <v>137</v>
      </c>
      <c r="I18">
        <v>53485</v>
      </c>
      <c r="J18">
        <v>59729</v>
      </c>
      <c r="K18">
        <v>145</v>
      </c>
      <c r="L18" s="1" t="s">
        <v>22</v>
      </c>
      <c r="M18" s="1" t="s">
        <v>57</v>
      </c>
      <c r="N18" s="1" t="s">
        <v>23</v>
      </c>
      <c r="O18">
        <v>995</v>
      </c>
      <c r="P18">
        <v>86</v>
      </c>
      <c r="Q18">
        <v>22788</v>
      </c>
      <c r="R18" s="33">
        <f>(Posts[[#This Row],[Likes]]+Posts[[#This Row],[Comments]]+Posts[[#This Row],[Shares]])/Posts[[#This Row],[Impressions]]*100</f>
        <v>3.4738711788351875</v>
      </c>
      <c r="S18">
        <v>289</v>
      </c>
      <c r="T18">
        <f>Posts[[#This Row],[New_Followers]]-Posts[[#This Row],[Unfollows]]</f>
        <v>909</v>
      </c>
      <c r="U18" s="32">
        <f>Posts[[#This Row],[Engagement Rate]]/Posts[[#This Row],[Ad_Spend]]</f>
        <v>1.5244300416162839E-4</v>
      </c>
    </row>
    <row r="19" spans="1:21" x14ac:dyDescent="0.25">
      <c r="A19" s="1" t="s">
        <v>77</v>
      </c>
      <c r="B19" s="1" t="s">
        <v>12</v>
      </c>
      <c r="C19" s="2">
        <v>45323</v>
      </c>
      <c r="D19" s="1" t="s">
        <v>54</v>
      </c>
      <c r="E19" t="s">
        <v>437</v>
      </c>
      <c r="F19">
        <v>1432</v>
      </c>
      <c r="G19">
        <v>437</v>
      </c>
      <c r="H19">
        <v>267</v>
      </c>
      <c r="I19">
        <v>40634</v>
      </c>
      <c r="J19">
        <v>54511</v>
      </c>
      <c r="K19">
        <v>197</v>
      </c>
      <c r="L19" s="1" t="s">
        <v>26</v>
      </c>
      <c r="M19" s="1" t="s">
        <v>13</v>
      </c>
      <c r="N19" s="1" t="s">
        <v>23</v>
      </c>
      <c r="O19">
        <v>1472</v>
      </c>
      <c r="P19">
        <v>296</v>
      </c>
      <c r="Q19">
        <v>7810</v>
      </c>
      <c r="R19" s="33">
        <f>(Posts[[#This Row],[Likes]]+Posts[[#This Row],[Comments]]+Posts[[#This Row],[Shares]])/Posts[[#This Row],[Impressions]]*100</f>
        <v>5.2566815966924256</v>
      </c>
      <c r="S19">
        <v>244</v>
      </c>
      <c r="T19">
        <f>Posts[[#This Row],[New_Followers]]-Posts[[#This Row],[Unfollows]]</f>
        <v>1176</v>
      </c>
      <c r="U19" s="32">
        <f>Posts[[#This Row],[Engagement Rate]]/Posts[[#This Row],[Ad_Spend]]</f>
        <v>6.7307062697726319E-4</v>
      </c>
    </row>
    <row r="20" spans="1:21" x14ac:dyDescent="0.25">
      <c r="A20" s="10" t="s">
        <v>78</v>
      </c>
      <c r="B20" s="10" t="s">
        <v>17</v>
      </c>
      <c r="C20" s="23">
        <v>45324</v>
      </c>
      <c r="D20" s="10" t="s">
        <v>54</v>
      </c>
      <c r="E20" s="10" t="s">
        <v>439</v>
      </c>
      <c r="F20" s="10">
        <v>3818</v>
      </c>
      <c r="G20" s="10">
        <v>115</v>
      </c>
      <c r="H20" s="10">
        <v>286</v>
      </c>
      <c r="I20" s="10">
        <v>25127</v>
      </c>
      <c r="J20" s="10">
        <v>22277</v>
      </c>
      <c r="K20" s="10">
        <v>263</v>
      </c>
      <c r="L20" s="10" t="s">
        <v>18</v>
      </c>
      <c r="M20" s="10" t="s">
        <v>57</v>
      </c>
      <c r="N20" s="10" t="s">
        <v>19</v>
      </c>
      <c r="O20" s="10">
        <v>995</v>
      </c>
      <c r="P20" s="10">
        <v>86</v>
      </c>
      <c r="Q20" s="10">
        <v>22788</v>
      </c>
      <c r="R20" s="34">
        <f>(Posts[[#This Row],[Likes]]+Posts[[#This Row],[Comments]]+Posts[[#This Row],[Shares]])/Posts[[#This Row],[Impressions]]*100</f>
        <v>16.790703227603775</v>
      </c>
      <c r="S20">
        <v>18</v>
      </c>
      <c r="T20" s="10">
        <f>Posts[[#This Row],[New_Followers]]-Posts[[#This Row],[Unfollows]]</f>
        <v>909</v>
      </c>
      <c r="U20" s="10">
        <f>Posts[[#This Row],[Engagement Rate]]/Posts[[#This Row],[Ad_Spend]]</f>
        <v>7.3682215322115911E-4</v>
      </c>
    </row>
    <row r="21" spans="1:21" x14ac:dyDescent="0.25">
      <c r="A21" s="1" t="s">
        <v>79</v>
      </c>
      <c r="B21" s="1" t="s">
        <v>11</v>
      </c>
      <c r="C21" s="2">
        <v>45325</v>
      </c>
      <c r="D21" s="1" t="s">
        <v>51</v>
      </c>
      <c r="E21" t="s">
        <v>435</v>
      </c>
      <c r="F21">
        <v>4281</v>
      </c>
      <c r="G21">
        <v>101</v>
      </c>
      <c r="H21">
        <v>163</v>
      </c>
      <c r="I21">
        <v>32278</v>
      </c>
      <c r="J21">
        <v>53382</v>
      </c>
      <c r="K21">
        <v>235</v>
      </c>
      <c r="L21" s="1" t="s">
        <v>18</v>
      </c>
      <c r="M21" s="1" t="s">
        <v>57</v>
      </c>
      <c r="N21" s="1" t="s">
        <v>15</v>
      </c>
      <c r="O21">
        <v>1402</v>
      </c>
      <c r="P21">
        <v>68</v>
      </c>
      <c r="Q21">
        <v>23125</v>
      </c>
      <c r="R21" s="33">
        <f>(Posts[[#This Row],[Likes]]+Posts[[#This Row],[Comments]]+Posts[[#This Row],[Shares]])/Posts[[#This Row],[Impressions]]*100</f>
        <v>14.080798066794721</v>
      </c>
      <c r="S21">
        <v>46</v>
      </c>
      <c r="T21">
        <f>Posts[[#This Row],[New_Followers]]-Posts[[#This Row],[Unfollows]]</f>
        <v>1334</v>
      </c>
      <c r="U21" s="32">
        <f>Posts[[#This Row],[Engagement Rate]]/Posts[[#This Row],[Ad_Spend]]</f>
        <v>6.0889937586139332E-4</v>
      </c>
    </row>
    <row r="22" spans="1:21" x14ac:dyDescent="0.25">
      <c r="A22" s="1" t="s">
        <v>80</v>
      </c>
      <c r="B22" s="1" t="s">
        <v>11</v>
      </c>
      <c r="C22" s="2">
        <v>45329</v>
      </c>
      <c r="D22" s="1" t="s">
        <v>54</v>
      </c>
      <c r="E22" t="s">
        <v>435</v>
      </c>
      <c r="F22">
        <v>1883</v>
      </c>
      <c r="G22">
        <v>432</v>
      </c>
      <c r="H22">
        <v>397</v>
      </c>
      <c r="I22">
        <v>28759</v>
      </c>
      <c r="J22">
        <v>18691</v>
      </c>
      <c r="K22">
        <v>270</v>
      </c>
      <c r="L22" s="1" t="s">
        <v>22</v>
      </c>
      <c r="M22" s="1" t="s">
        <v>18</v>
      </c>
      <c r="N22" s="1" t="s">
        <v>19</v>
      </c>
      <c r="O22">
        <v>1402</v>
      </c>
      <c r="P22">
        <v>68</v>
      </c>
      <c r="Q22">
        <v>23125</v>
      </c>
      <c r="R22" s="33">
        <f>(Posts[[#This Row],[Likes]]+Posts[[#This Row],[Comments]]+Posts[[#This Row],[Shares]])/Posts[[#This Row],[Impressions]]*100</f>
        <v>9.4300914496331583</v>
      </c>
      <c r="S22">
        <v>123</v>
      </c>
      <c r="T22">
        <f>Posts[[#This Row],[New_Followers]]-Posts[[#This Row],[Unfollows]]</f>
        <v>1334</v>
      </c>
      <c r="U22" s="32">
        <f>Posts[[#This Row],[Engagement Rate]]/Posts[[#This Row],[Ad_Spend]]</f>
        <v>4.0778773836251496E-4</v>
      </c>
    </row>
    <row r="23" spans="1:21" x14ac:dyDescent="0.25">
      <c r="A23" s="1" t="s">
        <v>81</v>
      </c>
      <c r="B23" s="1" t="s">
        <v>12</v>
      </c>
      <c r="C23" s="2">
        <v>45330</v>
      </c>
      <c r="D23" s="1" t="s">
        <v>48</v>
      </c>
      <c r="E23" t="s">
        <v>55</v>
      </c>
      <c r="F23">
        <v>1889</v>
      </c>
      <c r="G23">
        <v>298</v>
      </c>
      <c r="H23">
        <v>122</v>
      </c>
      <c r="I23">
        <v>46225</v>
      </c>
      <c r="J23">
        <v>74305</v>
      </c>
      <c r="K23">
        <v>293</v>
      </c>
      <c r="L23" s="1" t="s">
        <v>26</v>
      </c>
      <c r="M23" s="1" t="s">
        <v>22</v>
      </c>
      <c r="N23" s="1" t="s">
        <v>9</v>
      </c>
      <c r="O23">
        <v>1472</v>
      </c>
      <c r="P23">
        <v>296</v>
      </c>
      <c r="Q23">
        <v>7810</v>
      </c>
      <c r="R23" s="33">
        <f>(Posts[[#This Row],[Likes]]+Posts[[#This Row],[Comments]]+Posts[[#This Row],[Shares]])/Posts[[#This Row],[Impressions]]*100</f>
        <v>4.9951325040562464</v>
      </c>
      <c r="S23">
        <v>255</v>
      </c>
      <c r="T23">
        <f>Posts[[#This Row],[New_Followers]]-Posts[[#This Row],[Unfollows]]</f>
        <v>1176</v>
      </c>
      <c r="U23" s="32">
        <f>Posts[[#This Row],[Engagement Rate]]/Posts[[#This Row],[Ad_Spend]]</f>
        <v>6.3958162663972423E-4</v>
      </c>
    </row>
    <row r="24" spans="1:21" x14ac:dyDescent="0.25">
      <c r="A24" s="1" t="s">
        <v>82</v>
      </c>
      <c r="B24" s="1" t="s">
        <v>17</v>
      </c>
      <c r="C24" s="2">
        <v>45332</v>
      </c>
      <c r="D24" s="1" t="s">
        <v>54</v>
      </c>
      <c r="E24" t="s">
        <v>439</v>
      </c>
      <c r="F24">
        <v>1519</v>
      </c>
      <c r="G24">
        <v>456</v>
      </c>
      <c r="H24">
        <v>379</v>
      </c>
      <c r="I24">
        <v>51611</v>
      </c>
      <c r="J24">
        <v>45880</v>
      </c>
      <c r="K24">
        <v>176</v>
      </c>
      <c r="L24" s="1" t="s">
        <v>22</v>
      </c>
      <c r="M24" s="1" t="s">
        <v>57</v>
      </c>
      <c r="N24" s="1" t="s">
        <v>23</v>
      </c>
      <c r="O24">
        <v>995</v>
      </c>
      <c r="P24">
        <v>86</v>
      </c>
      <c r="Q24">
        <v>22788</v>
      </c>
      <c r="R24" s="33">
        <f>(Posts[[#This Row],[Likes]]+Posts[[#This Row],[Comments]]+Posts[[#This Row],[Shares]])/Posts[[#This Row],[Impressions]]*100</f>
        <v>4.5610431884675746</v>
      </c>
      <c r="S24">
        <v>264</v>
      </c>
      <c r="T24">
        <f>Posts[[#This Row],[New_Followers]]-Posts[[#This Row],[Unfollows]]</f>
        <v>909</v>
      </c>
      <c r="U24" s="32">
        <f>Posts[[#This Row],[Engagement Rate]]/Posts[[#This Row],[Ad_Spend]]</f>
        <v>2.0015109656255814E-4</v>
      </c>
    </row>
    <row r="25" spans="1:21" x14ac:dyDescent="0.25">
      <c r="A25" s="1" t="s">
        <v>83</v>
      </c>
      <c r="B25" s="1" t="s">
        <v>17</v>
      </c>
      <c r="C25" s="2">
        <v>45334</v>
      </c>
      <c r="D25" s="1" t="s">
        <v>54</v>
      </c>
      <c r="E25" t="s">
        <v>49</v>
      </c>
      <c r="F25">
        <v>2691</v>
      </c>
      <c r="G25">
        <v>486</v>
      </c>
      <c r="H25">
        <v>206</v>
      </c>
      <c r="I25">
        <v>51133</v>
      </c>
      <c r="J25">
        <v>44583</v>
      </c>
      <c r="K25">
        <v>276</v>
      </c>
      <c r="L25" s="1" t="s">
        <v>18</v>
      </c>
      <c r="M25" s="1" t="s">
        <v>57</v>
      </c>
      <c r="N25" s="1" t="s">
        <v>19</v>
      </c>
      <c r="O25">
        <v>995</v>
      </c>
      <c r="P25">
        <v>86</v>
      </c>
      <c r="Q25">
        <v>22788</v>
      </c>
      <c r="R25" s="33">
        <f>(Posts[[#This Row],[Likes]]+Posts[[#This Row],[Comments]]+Posts[[#This Row],[Shares]])/Posts[[#This Row],[Impressions]]*100</f>
        <v>6.6160796354604656</v>
      </c>
      <c r="S25">
        <v>210</v>
      </c>
      <c r="T25">
        <f>Posts[[#This Row],[New_Followers]]-Posts[[#This Row],[Unfollows]]</f>
        <v>909</v>
      </c>
      <c r="U25" s="32">
        <f>Posts[[#This Row],[Engagement Rate]]/Posts[[#This Row],[Ad_Spend]]</f>
        <v>2.9033173755750683E-4</v>
      </c>
    </row>
    <row r="26" spans="1:21" x14ac:dyDescent="0.25">
      <c r="A26" s="1" t="s">
        <v>84</v>
      </c>
      <c r="B26" s="1" t="s">
        <v>11</v>
      </c>
      <c r="C26" s="2">
        <v>45334</v>
      </c>
      <c r="D26" s="1" t="s">
        <v>54</v>
      </c>
      <c r="E26" t="s">
        <v>49</v>
      </c>
      <c r="F26">
        <v>2923</v>
      </c>
      <c r="G26">
        <v>330</v>
      </c>
      <c r="H26">
        <v>250</v>
      </c>
      <c r="I26">
        <v>23993</v>
      </c>
      <c r="J26">
        <v>74590</v>
      </c>
      <c r="K26">
        <v>92</v>
      </c>
      <c r="L26" s="1" t="s">
        <v>26</v>
      </c>
      <c r="M26" s="1" t="s">
        <v>57</v>
      </c>
      <c r="N26" s="1" t="s">
        <v>23</v>
      </c>
      <c r="O26">
        <v>1402</v>
      </c>
      <c r="P26">
        <v>68</v>
      </c>
      <c r="Q26">
        <v>23125</v>
      </c>
      <c r="R26" s="33">
        <f>(Posts[[#This Row],[Likes]]+Posts[[#This Row],[Comments]]+Posts[[#This Row],[Shares]])/Posts[[#This Row],[Impressions]]*100</f>
        <v>14.600091693410578</v>
      </c>
      <c r="S26">
        <v>40</v>
      </c>
      <c r="T26">
        <f>Posts[[#This Row],[New_Followers]]-Posts[[#This Row],[Unfollows]]</f>
        <v>1334</v>
      </c>
      <c r="U26" s="32">
        <f>Posts[[#This Row],[Engagement Rate]]/Posts[[#This Row],[Ad_Spend]]</f>
        <v>6.3135531647180872E-4</v>
      </c>
    </row>
    <row r="27" spans="1:21" x14ac:dyDescent="0.25">
      <c r="A27" s="1" t="s">
        <v>85</v>
      </c>
      <c r="B27" s="1" t="s">
        <v>11</v>
      </c>
      <c r="C27" s="2">
        <v>45336</v>
      </c>
      <c r="D27" s="1" t="s">
        <v>54</v>
      </c>
      <c r="E27" t="s">
        <v>435</v>
      </c>
      <c r="F27">
        <v>1830</v>
      </c>
      <c r="G27">
        <v>112</v>
      </c>
      <c r="H27">
        <v>181</v>
      </c>
      <c r="I27">
        <v>31870</v>
      </c>
      <c r="J27">
        <v>55742</v>
      </c>
      <c r="K27">
        <v>263</v>
      </c>
      <c r="L27" s="1" t="s">
        <v>22</v>
      </c>
      <c r="M27" s="1" t="s">
        <v>18</v>
      </c>
      <c r="N27" s="1" t="s">
        <v>19</v>
      </c>
      <c r="O27">
        <v>1402</v>
      </c>
      <c r="P27">
        <v>68</v>
      </c>
      <c r="Q27">
        <v>23125</v>
      </c>
      <c r="R27" s="33">
        <f>(Posts[[#This Row],[Likes]]+Posts[[#This Row],[Comments]]+Posts[[#This Row],[Shares]])/Posts[[#This Row],[Impressions]]*100</f>
        <v>6.6614370881706932</v>
      </c>
      <c r="S27">
        <v>208</v>
      </c>
      <c r="T27">
        <f>Posts[[#This Row],[New_Followers]]-Posts[[#This Row],[Unfollows]]</f>
        <v>1334</v>
      </c>
      <c r="U27" s="32">
        <f>Posts[[#This Row],[Engagement Rate]]/Posts[[#This Row],[Ad_Spend]]</f>
        <v>2.8806214435332726E-4</v>
      </c>
    </row>
    <row r="28" spans="1:21" x14ac:dyDescent="0.25">
      <c r="A28" s="1" t="s">
        <v>86</v>
      </c>
      <c r="B28" s="1" t="s">
        <v>11</v>
      </c>
      <c r="C28" s="2">
        <v>45340</v>
      </c>
      <c r="D28" s="1" t="s">
        <v>51</v>
      </c>
      <c r="E28" t="s">
        <v>439</v>
      </c>
      <c r="F28">
        <v>1516</v>
      </c>
      <c r="G28">
        <v>215</v>
      </c>
      <c r="H28">
        <v>332</v>
      </c>
      <c r="I28">
        <v>58981</v>
      </c>
      <c r="J28">
        <v>36118</v>
      </c>
      <c r="K28">
        <v>211</v>
      </c>
      <c r="L28" s="1" t="s">
        <v>18</v>
      </c>
      <c r="M28" s="1" t="s">
        <v>57</v>
      </c>
      <c r="N28" s="1" t="s">
        <v>15</v>
      </c>
      <c r="O28">
        <v>1402</v>
      </c>
      <c r="P28">
        <v>68</v>
      </c>
      <c r="Q28">
        <v>23125</v>
      </c>
      <c r="R28" s="33">
        <f>(Posts[[#This Row],[Likes]]+Posts[[#This Row],[Comments]]+Posts[[#This Row],[Shares]])/Posts[[#This Row],[Impressions]]*100</f>
        <v>3.4977365592309386</v>
      </c>
      <c r="S28">
        <v>288</v>
      </c>
      <c r="T28">
        <f>Posts[[#This Row],[New_Followers]]-Posts[[#This Row],[Unfollows]]</f>
        <v>1334</v>
      </c>
      <c r="U28" s="32">
        <f>Posts[[#This Row],[Engagement Rate]]/Posts[[#This Row],[Ad_Spend]]</f>
        <v>1.5125347283160816E-4</v>
      </c>
    </row>
    <row r="29" spans="1:21" x14ac:dyDescent="0.25">
      <c r="A29" s="1" t="s">
        <v>87</v>
      </c>
      <c r="B29" s="1" t="s">
        <v>11</v>
      </c>
      <c r="C29" s="2">
        <v>45341</v>
      </c>
      <c r="D29" s="1" t="s">
        <v>54</v>
      </c>
      <c r="E29" t="s">
        <v>437</v>
      </c>
      <c r="F29">
        <v>4752</v>
      </c>
      <c r="G29">
        <v>449</v>
      </c>
      <c r="H29">
        <v>309</v>
      </c>
      <c r="I29">
        <v>58530</v>
      </c>
      <c r="J29">
        <v>26630</v>
      </c>
      <c r="K29">
        <v>234</v>
      </c>
      <c r="L29" s="1" t="s">
        <v>26</v>
      </c>
      <c r="M29" s="1" t="s">
        <v>57</v>
      </c>
      <c r="N29" s="1" t="s">
        <v>23</v>
      </c>
      <c r="O29">
        <v>1402</v>
      </c>
      <c r="P29">
        <v>68</v>
      </c>
      <c r="Q29">
        <v>23125</v>
      </c>
      <c r="R29" s="33">
        <f>(Posts[[#This Row],[Likes]]+Posts[[#This Row],[Comments]]+Posts[[#This Row],[Shares]])/Posts[[#This Row],[Impressions]]*100</f>
        <v>9.413975738937296</v>
      </c>
      <c r="S29">
        <v>125</v>
      </c>
      <c r="T29">
        <f>Posts[[#This Row],[New_Followers]]-Posts[[#This Row],[Unfollows]]</f>
        <v>1334</v>
      </c>
      <c r="U29" s="32">
        <f>Posts[[#This Row],[Engagement Rate]]/Posts[[#This Row],[Ad_Spend]]</f>
        <v>4.0709084276485604E-4</v>
      </c>
    </row>
    <row r="30" spans="1:21" x14ac:dyDescent="0.25">
      <c r="A30" s="1" t="s">
        <v>88</v>
      </c>
      <c r="B30" s="1" t="s">
        <v>17</v>
      </c>
      <c r="C30" s="2">
        <v>45343</v>
      </c>
      <c r="D30" s="1" t="s">
        <v>51</v>
      </c>
      <c r="E30" t="s">
        <v>89</v>
      </c>
      <c r="F30">
        <v>2604</v>
      </c>
      <c r="G30">
        <v>439</v>
      </c>
      <c r="H30">
        <v>148</v>
      </c>
      <c r="I30">
        <v>58468</v>
      </c>
      <c r="J30">
        <v>39629</v>
      </c>
      <c r="K30">
        <v>163</v>
      </c>
      <c r="L30" s="1" t="s">
        <v>14</v>
      </c>
      <c r="M30" s="1" t="s">
        <v>18</v>
      </c>
      <c r="N30" s="1" t="s">
        <v>19</v>
      </c>
      <c r="O30">
        <v>995</v>
      </c>
      <c r="P30">
        <v>86</v>
      </c>
      <c r="Q30">
        <v>22788</v>
      </c>
      <c r="R30" s="33">
        <f>(Posts[[#This Row],[Likes]]+Posts[[#This Row],[Comments]]+Posts[[#This Row],[Shares]])/Posts[[#This Row],[Impressions]]*100</f>
        <v>5.4576862557296293</v>
      </c>
      <c r="S30">
        <v>239</v>
      </c>
      <c r="T30">
        <f>Posts[[#This Row],[New_Followers]]-Posts[[#This Row],[Unfollows]]</f>
        <v>909</v>
      </c>
      <c r="U30" s="32">
        <f>Posts[[#This Row],[Engagement Rate]]/Posts[[#This Row],[Ad_Spend]]</f>
        <v>2.3949825591230601E-4</v>
      </c>
    </row>
    <row r="31" spans="1:21" x14ac:dyDescent="0.25">
      <c r="A31" s="1" t="s">
        <v>90</v>
      </c>
      <c r="B31" s="1" t="s">
        <v>11</v>
      </c>
      <c r="C31" s="2">
        <v>45344</v>
      </c>
      <c r="D31" s="1" t="s">
        <v>54</v>
      </c>
      <c r="E31" t="s">
        <v>438</v>
      </c>
      <c r="F31">
        <v>1902</v>
      </c>
      <c r="G31">
        <v>394</v>
      </c>
      <c r="H31">
        <v>279</v>
      </c>
      <c r="I31">
        <v>24615</v>
      </c>
      <c r="J31">
        <v>51330</v>
      </c>
      <c r="K31">
        <v>176</v>
      </c>
      <c r="L31" s="1" t="s">
        <v>22</v>
      </c>
      <c r="M31" s="1" t="s">
        <v>18</v>
      </c>
      <c r="N31" s="1" t="s">
        <v>19</v>
      </c>
      <c r="O31">
        <v>1402</v>
      </c>
      <c r="P31">
        <v>68</v>
      </c>
      <c r="Q31">
        <v>23125</v>
      </c>
      <c r="R31" s="33">
        <f>(Posts[[#This Row],[Likes]]+Posts[[#This Row],[Comments]]+Posts[[#This Row],[Shares]])/Posts[[#This Row],[Impressions]]*100</f>
        <v>10.461100954702417</v>
      </c>
      <c r="S31">
        <v>99</v>
      </c>
      <c r="T31">
        <f>Posts[[#This Row],[New_Followers]]-Posts[[#This Row],[Unfollows]]</f>
        <v>1334</v>
      </c>
      <c r="U31" s="32">
        <f>Posts[[#This Row],[Engagement Rate]]/Posts[[#This Row],[Ad_Spend]]</f>
        <v>4.5237193317632074E-4</v>
      </c>
    </row>
    <row r="32" spans="1:21" x14ac:dyDescent="0.25">
      <c r="A32" s="1" t="s">
        <v>91</v>
      </c>
      <c r="B32" s="1" t="s">
        <v>12</v>
      </c>
      <c r="C32" s="2">
        <v>45346</v>
      </c>
      <c r="D32" s="1" t="s">
        <v>48</v>
      </c>
      <c r="E32" t="s">
        <v>435</v>
      </c>
      <c r="F32">
        <v>4221</v>
      </c>
      <c r="G32">
        <v>307</v>
      </c>
      <c r="H32">
        <v>58</v>
      </c>
      <c r="I32">
        <v>45080</v>
      </c>
      <c r="J32">
        <v>37214</v>
      </c>
      <c r="K32">
        <v>240</v>
      </c>
      <c r="L32" s="1" t="s">
        <v>26</v>
      </c>
      <c r="M32" s="1" t="s">
        <v>22</v>
      </c>
      <c r="N32" s="1" t="s">
        <v>9</v>
      </c>
      <c r="O32">
        <v>1472</v>
      </c>
      <c r="P32">
        <v>296</v>
      </c>
      <c r="Q32">
        <v>7810</v>
      </c>
      <c r="R32" s="33">
        <f>(Posts[[#This Row],[Likes]]+Posts[[#This Row],[Comments]]+Posts[[#This Row],[Shares]])/Posts[[#This Row],[Impressions]]*100</f>
        <v>10.173025732031943</v>
      </c>
      <c r="S32">
        <v>105</v>
      </c>
      <c r="T32">
        <f>Posts[[#This Row],[New_Followers]]-Posts[[#This Row],[Unfollows]]</f>
        <v>1176</v>
      </c>
      <c r="U32" s="32">
        <f>Posts[[#This Row],[Engagement Rate]]/Posts[[#This Row],[Ad_Spend]]</f>
        <v>1.3025641142166381E-3</v>
      </c>
    </row>
    <row r="33" spans="1:21" x14ac:dyDescent="0.25">
      <c r="A33" s="1" t="s">
        <v>92</v>
      </c>
      <c r="B33" s="1" t="s">
        <v>17</v>
      </c>
      <c r="C33" s="2">
        <v>45346</v>
      </c>
      <c r="D33" s="1" t="s">
        <v>51</v>
      </c>
      <c r="E33" t="s">
        <v>69</v>
      </c>
      <c r="F33">
        <v>1022</v>
      </c>
      <c r="G33">
        <v>463</v>
      </c>
      <c r="H33">
        <v>360</v>
      </c>
      <c r="I33">
        <v>51468</v>
      </c>
      <c r="J33">
        <v>24279</v>
      </c>
      <c r="K33">
        <v>230</v>
      </c>
      <c r="L33" s="1" t="s">
        <v>26</v>
      </c>
      <c r="M33" s="1" t="s">
        <v>14</v>
      </c>
      <c r="N33" s="1" t="s">
        <v>19</v>
      </c>
      <c r="O33">
        <v>995</v>
      </c>
      <c r="P33">
        <v>86</v>
      </c>
      <c r="Q33">
        <v>22788</v>
      </c>
      <c r="R33" s="33">
        <f>(Posts[[#This Row],[Likes]]+Posts[[#This Row],[Comments]]+Posts[[#This Row],[Shares]])/Posts[[#This Row],[Impressions]]*100</f>
        <v>3.5847516903707159</v>
      </c>
      <c r="S33">
        <v>283</v>
      </c>
      <c r="T33">
        <f>Posts[[#This Row],[New_Followers]]-Posts[[#This Row],[Unfollows]]</f>
        <v>909</v>
      </c>
      <c r="U33" s="32">
        <f>Posts[[#This Row],[Engagement Rate]]/Posts[[#This Row],[Ad_Spend]]</f>
        <v>1.5730874540857977E-4</v>
      </c>
    </row>
    <row r="34" spans="1:21" x14ac:dyDescent="0.25">
      <c r="A34" s="1" t="s">
        <v>93</v>
      </c>
      <c r="B34" s="1" t="s">
        <v>12</v>
      </c>
      <c r="C34" s="2">
        <v>45346</v>
      </c>
      <c r="D34" s="1" t="s">
        <v>54</v>
      </c>
      <c r="E34" t="s">
        <v>435</v>
      </c>
      <c r="F34">
        <v>4653</v>
      </c>
      <c r="G34">
        <v>226</v>
      </c>
      <c r="H34">
        <v>349</v>
      </c>
      <c r="I34">
        <v>56876</v>
      </c>
      <c r="J34">
        <v>28452</v>
      </c>
      <c r="K34">
        <v>257</v>
      </c>
      <c r="L34" s="1" t="s">
        <v>26</v>
      </c>
      <c r="M34" s="1" t="s">
        <v>13</v>
      </c>
      <c r="N34" s="1" t="s">
        <v>23</v>
      </c>
      <c r="O34">
        <v>1472</v>
      </c>
      <c r="P34">
        <v>296</v>
      </c>
      <c r="Q34">
        <v>7810</v>
      </c>
      <c r="R34" s="33">
        <f>(Posts[[#This Row],[Likes]]+Posts[[#This Row],[Comments]]+Posts[[#This Row],[Shares]])/Posts[[#This Row],[Impressions]]*100</f>
        <v>9.1919262958013928</v>
      </c>
      <c r="S34">
        <v>136</v>
      </c>
      <c r="T34">
        <f>Posts[[#This Row],[New_Followers]]-Posts[[#This Row],[Unfollows]]</f>
        <v>1176</v>
      </c>
      <c r="U34" s="32">
        <f>Posts[[#This Row],[Engagement Rate]]/Posts[[#This Row],[Ad_Spend]]</f>
        <v>1.1769431876826367E-3</v>
      </c>
    </row>
    <row r="35" spans="1:21" x14ac:dyDescent="0.25">
      <c r="A35" s="1" t="s">
        <v>94</v>
      </c>
      <c r="B35" s="1" t="s">
        <v>11</v>
      </c>
      <c r="C35" s="2">
        <v>45351</v>
      </c>
      <c r="D35" s="1" t="s">
        <v>54</v>
      </c>
      <c r="E35" t="s">
        <v>439</v>
      </c>
      <c r="F35">
        <v>1100</v>
      </c>
      <c r="G35">
        <v>229</v>
      </c>
      <c r="H35">
        <v>312</v>
      </c>
      <c r="I35">
        <v>25641</v>
      </c>
      <c r="J35">
        <v>34601</v>
      </c>
      <c r="K35">
        <v>169</v>
      </c>
      <c r="L35" s="1" t="s">
        <v>26</v>
      </c>
      <c r="M35" s="1" t="s">
        <v>57</v>
      </c>
      <c r="N35" s="1" t="s">
        <v>23</v>
      </c>
      <c r="O35">
        <v>1402</v>
      </c>
      <c r="P35">
        <v>68</v>
      </c>
      <c r="Q35">
        <v>23125</v>
      </c>
      <c r="R35" s="33">
        <f>(Posts[[#This Row],[Likes]]+Posts[[#This Row],[Comments]]+Posts[[#This Row],[Shares]])/Posts[[#This Row],[Impressions]]*100</f>
        <v>6.3999063999063992</v>
      </c>
      <c r="S35">
        <v>214</v>
      </c>
      <c r="T35">
        <f>Posts[[#This Row],[New_Followers]]-Posts[[#This Row],[Unfollows]]</f>
        <v>1334</v>
      </c>
      <c r="U35" s="32">
        <f>Posts[[#This Row],[Engagement Rate]]/Posts[[#This Row],[Ad_Spend]]</f>
        <v>2.7675270918514161E-4</v>
      </c>
    </row>
    <row r="36" spans="1:21" x14ac:dyDescent="0.25">
      <c r="A36" s="1" t="s">
        <v>95</v>
      </c>
      <c r="B36" s="1" t="s">
        <v>12</v>
      </c>
      <c r="C36" s="2">
        <v>45356</v>
      </c>
      <c r="D36" s="1" t="s">
        <v>48</v>
      </c>
      <c r="E36" t="s">
        <v>49</v>
      </c>
      <c r="F36">
        <v>3558</v>
      </c>
      <c r="G36">
        <v>314</v>
      </c>
      <c r="H36">
        <v>199</v>
      </c>
      <c r="I36">
        <v>49612</v>
      </c>
      <c r="J36">
        <v>53929</v>
      </c>
      <c r="K36">
        <v>206</v>
      </c>
      <c r="L36" s="1" t="s">
        <v>26</v>
      </c>
      <c r="M36" s="1" t="s">
        <v>22</v>
      </c>
      <c r="N36" s="1" t="s">
        <v>9</v>
      </c>
      <c r="O36">
        <v>1472</v>
      </c>
      <c r="P36">
        <v>296</v>
      </c>
      <c r="Q36">
        <v>7810</v>
      </c>
      <c r="R36" s="33">
        <f>(Posts[[#This Row],[Likes]]+Posts[[#This Row],[Comments]]+Posts[[#This Row],[Shares]])/Posts[[#This Row],[Impressions]]*100</f>
        <v>8.2056760461178744</v>
      </c>
      <c r="S36">
        <v>169</v>
      </c>
      <c r="T36">
        <f>Posts[[#This Row],[New_Followers]]-Posts[[#This Row],[Unfollows]]</f>
        <v>1176</v>
      </c>
      <c r="U36" s="32">
        <f>Posts[[#This Row],[Engagement Rate]]/Posts[[#This Row],[Ad_Spend]]</f>
        <v>1.0506627459818021E-3</v>
      </c>
    </row>
    <row r="37" spans="1:21" x14ac:dyDescent="0.25">
      <c r="A37" s="1" t="s">
        <v>96</v>
      </c>
      <c r="B37" s="1" t="s">
        <v>17</v>
      </c>
      <c r="C37" s="2">
        <v>45357</v>
      </c>
      <c r="D37" s="1" t="s">
        <v>54</v>
      </c>
      <c r="E37" t="s">
        <v>69</v>
      </c>
      <c r="F37">
        <v>1971</v>
      </c>
      <c r="G37">
        <v>370</v>
      </c>
      <c r="H37">
        <v>306</v>
      </c>
      <c r="I37">
        <v>31316</v>
      </c>
      <c r="J37">
        <v>27897</v>
      </c>
      <c r="K37">
        <v>88</v>
      </c>
      <c r="L37" s="1" t="s">
        <v>22</v>
      </c>
      <c r="M37" s="1" t="s">
        <v>57</v>
      </c>
      <c r="N37" s="1" t="s">
        <v>23</v>
      </c>
      <c r="O37">
        <v>995</v>
      </c>
      <c r="P37">
        <v>86</v>
      </c>
      <c r="Q37">
        <v>22788</v>
      </c>
      <c r="R37" s="33">
        <f>(Posts[[#This Row],[Likes]]+Posts[[#This Row],[Comments]]+Posts[[#This Row],[Shares]])/Posts[[#This Row],[Impressions]]*100</f>
        <v>8.4525482181632388</v>
      </c>
      <c r="S37">
        <v>158</v>
      </c>
      <c r="T37">
        <f>Posts[[#This Row],[New_Followers]]-Posts[[#This Row],[Unfollows]]</f>
        <v>909</v>
      </c>
      <c r="U37" s="32">
        <f>Posts[[#This Row],[Engagement Rate]]/Posts[[#This Row],[Ad_Spend]]</f>
        <v>3.7092102063205365E-4</v>
      </c>
    </row>
    <row r="38" spans="1:21" x14ac:dyDescent="0.25">
      <c r="A38" s="1" t="s">
        <v>97</v>
      </c>
      <c r="B38" s="1" t="s">
        <v>11</v>
      </c>
      <c r="C38" s="2">
        <v>45357</v>
      </c>
      <c r="D38" s="1" t="s">
        <v>54</v>
      </c>
      <c r="E38" t="s">
        <v>436</v>
      </c>
      <c r="F38">
        <v>3529</v>
      </c>
      <c r="G38">
        <v>263</v>
      </c>
      <c r="H38">
        <v>107</v>
      </c>
      <c r="I38">
        <v>26570</v>
      </c>
      <c r="J38">
        <v>19367</v>
      </c>
      <c r="K38">
        <v>96</v>
      </c>
      <c r="L38" s="1" t="s">
        <v>26</v>
      </c>
      <c r="M38" s="1" t="s">
        <v>57</v>
      </c>
      <c r="N38" s="1" t="s">
        <v>23</v>
      </c>
      <c r="O38">
        <v>1402</v>
      </c>
      <c r="P38">
        <v>68</v>
      </c>
      <c r="Q38">
        <v>23125</v>
      </c>
      <c r="R38" s="33">
        <f>(Posts[[#This Row],[Likes]]+Posts[[#This Row],[Comments]]+Posts[[#This Row],[Shares]])/Posts[[#This Row],[Impressions]]*100</f>
        <v>14.674444862627023</v>
      </c>
      <c r="S38">
        <v>39</v>
      </c>
      <c r="T38">
        <f>Posts[[#This Row],[New_Followers]]-Posts[[#This Row],[Unfollows]]</f>
        <v>1334</v>
      </c>
      <c r="U38" s="32">
        <f>Posts[[#This Row],[Engagement Rate]]/Posts[[#This Row],[Ad_Spend]]</f>
        <v>6.3457058865414159E-4</v>
      </c>
    </row>
    <row r="39" spans="1:21" x14ac:dyDescent="0.25">
      <c r="A39" s="1" t="s">
        <v>98</v>
      </c>
      <c r="B39" s="1" t="s">
        <v>12</v>
      </c>
      <c r="C39" s="2">
        <v>45365</v>
      </c>
      <c r="D39" s="1" t="s">
        <v>48</v>
      </c>
      <c r="E39" t="s">
        <v>439</v>
      </c>
      <c r="F39">
        <v>3361</v>
      </c>
      <c r="G39">
        <v>188</v>
      </c>
      <c r="H39">
        <v>358</v>
      </c>
      <c r="I39">
        <v>39838</v>
      </c>
      <c r="J39">
        <v>24536</v>
      </c>
      <c r="K39">
        <v>120</v>
      </c>
      <c r="L39" s="1" t="s">
        <v>26</v>
      </c>
      <c r="M39" s="1" t="s">
        <v>22</v>
      </c>
      <c r="N39" s="1" t="s">
        <v>9</v>
      </c>
      <c r="O39">
        <v>1472</v>
      </c>
      <c r="P39">
        <v>296</v>
      </c>
      <c r="Q39">
        <v>7810</v>
      </c>
      <c r="R39" s="33">
        <f>(Posts[[#This Row],[Likes]]+Posts[[#This Row],[Comments]]+Posts[[#This Row],[Shares]])/Posts[[#This Row],[Impressions]]*100</f>
        <v>9.8072192379135501</v>
      </c>
      <c r="S39">
        <v>113</v>
      </c>
      <c r="T39">
        <f>Posts[[#This Row],[New_Followers]]-Posts[[#This Row],[Unfollows]]</f>
        <v>1176</v>
      </c>
      <c r="U39" s="32">
        <f>Posts[[#This Row],[Engagement Rate]]/Posts[[#This Row],[Ad_Spend]]</f>
        <v>1.2557258947392511E-3</v>
      </c>
    </row>
    <row r="40" spans="1:21" x14ac:dyDescent="0.25">
      <c r="A40" s="1" t="s">
        <v>99</v>
      </c>
      <c r="B40" s="1" t="s">
        <v>17</v>
      </c>
      <c r="C40" s="2">
        <v>45366</v>
      </c>
      <c r="D40" s="1" t="s">
        <v>51</v>
      </c>
      <c r="E40" t="s">
        <v>89</v>
      </c>
      <c r="F40">
        <v>4969</v>
      </c>
      <c r="G40">
        <v>433</v>
      </c>
      <c r="H40">
        <v>237</v>
      </c>
      <c r="I40">
        <v>59552</v>
      </c>
      <c r="J40">
        <v>23885</v>
      </c>
      <c r="K40">
        <v>157</v>
      </c>
      <c r="L40" s="1" t="s">
        <v>26</v>
      </c>
      <c r="M40" s="1" t="s">
        <v>14</v>
      </c>
      <c r="N40" s="1" t="s">
        <v>19</v>
      </c>
      <c r="O40">
        <v>995</v>
      </c>
      <c r="P40">
        <v>86</v>
      </c>
      <c r="Q40">
        <v>22788</v>
      </c>
      <c r="R40" s="33">
        <f>(Posts[[#This Row],[Likes]]+Posts[[#This Row],[Comments]]+Posts[[#This Row],[Shares]])/Posts[[#This Row],[Impressions]]*100</f>
        <v>9.4690354648038682</v>
      </c>
      <c r="S40">
        <v>121</v>
      </c>
      <c r="T40">
        <f>Posts[[#This Row],[New_Followers]]-Posts[[#This Row],[Unfollows]]</f>
        <v>909</v>
      </c>
      <c r="U40" s="32">
        <f>Posts[[#This Row],[Engagement Rate]]/Posts[[#This Row],[Ad_Spend]]</f>
        <v>4.1552727158170391E-4</v>
      </c>
    </row>
    <row r="41" spans="1:21" x14ac:dyDescent="0.25">
      <c r="A41" s="1" t="s">
        <v>100</v>
      </c>
      <c r="B41" s="1" t="s">
        <v>17</v>
      </c>
      <c r="C41" s="2">
        <v>45367</v>
      </c>
      <c r="D41" s="1" t="s">
        <v>51</v>
      </c>
      <c r="E41" t="s">
        <v>437</v>
      </c>
      <c r="F41">
        <v>2895</v>
      </c>
      <c r="G41">
        <v>292</v>
      </c>
      <c r="H41">
        <v>90</v>
      </c>
      <c r="I41">
        <v>24223</v>
      </c>
      <c r="J41">
        <v>54626</v>
      </c>
      <c r="K41">
        <v>114</v>
      </c>
      <c r="L41" s="1" t="s">
        <v>22</v>
      </c>
      <c r="M41" s="1" t="s">
        <v>18</v>
      </c>
      <c r="N41" s="1" t="s">
        <v>19</v>
      </c>
      <c r="O41">
        <v>995</v>
      </c>
      <c r="P41">
        <v>86</v>
      </c>
      <c r="Q41">
        <v>22788</v>
      </c>
      <c r="R41" s="33">
        <f>(Posts[[#This Row],[Likes]]+Posts[[#This Row],[Comments]]+Posts[[#This Row],[Shares]])/Posts[[#This Row],[Impressions]]*100</f>
        <v>13.528464682326714</v>
      </c>
      <c r="S41">
        <v>50</v>
      </c>
      <c r="T41">
        <f>Posts[[#This Row],[New_Followers]]-Posts[[#This Row],[Unfollows]]</f>
        <v>909</v>
      </c>
      <c r="U41" s="32">
        <f>Posts[[#This Row],[Engagement Rate]]/Posts[[#This Row],[Ad_Spend]]</f>
        <v>5.9366617001609242E-4</v>
      </c>
    </row>
    <row r="42" spans="1:21" x14ac:dyDescent="0.25">
      <c r="A42" s="1" t="s">
        <v>101</v>
      </c>
      <c r="B42" s="1" t="s">
        <v>12</v>
      </c>
      <c r="C42" s="2">
        <v>45368</v>
      </c>
      <c r="D42" s="1" t="s">
        <v>48</v>
      </c>
      <c r="E42" t="s">
        <v>49</v>
      </c>
      <c r="F42">
        <v>2692</v>
      </c>
      <c r="G42">
        <v>446</v>
      </c>
      <c r="H42">
        <v>216</v>
      </c>
      <c r="I42">
        <v>45818</v>
      </c>
      <c r="J42">
        <v>62723</v>
      </c>
      <c r="K42">
        <v>85</v>
      </c>
      <c r="L42" s="1" t="s">
        <v>26</v>
      </c>
      <c r="M42" s="1" t="s">
        <v>22</v>
      </c>
      <c r="N42" s="1" t="s">
        <v>9</v>
      </c>
      <c r="O42">
        <v>1472</v>
      </c>
      <c r="P42">
        <v>296</v>
      </c>
      <c r="Q42">
        <v>7810</v>
      </c>
      <c r="R42" s="33">
        <f>(Posts[[#This Row],[Likes]]+Posts[[#This Row],[Comments]]+Posts[[#This Row],[Shares]])/Posts[[#This Row],[Impressions]]*100</f>
        <v>7.3202671439172375</v>
      </c>
      <c r="S42">
        <v>193</v>
      </c>
      <c r="T42">
        <f>Posts[[#This Row],[New_Followers]]-Posts[[#This Row],[Unfollows]]</f>
        <v>1176</v>
      </c>
      <c r="U42" s="32">
        <f>Posts[[#This Row],[Engagement Rate]]/Posts[[#This Row],[Ad_Spend]]</f>
        <v>9.3729412854253998E-4</v>
      </c>
    </row>
    <row r="43" spans="1:21" x14ac:dyDescent="0.25">
      <c r="A43" s="1" t="s">
        <v>102</v>
      </c>
      <c r="B43" s="1" t="s">
        <v>17</v>
      </c>
      <c r="C43" s="2">
        <v>45369</v>
      </c>
      <c r="D43" s="1" t="s">
        <v>54</v>
      </c>
      <c r="E43" t="s">
        <v>438</v>
      </c>
      <c r="F43">
        <v>2033</v>
      </c>
      <c r="G43">
        <v>420</v>
      </c>
      <c r="H43">
        <v>94</v>
      </c>
      <c r="I43">
        <v>56290</v>
      </c>
      <c r="J43">
        <v>57391</v>
      </c>
      <c r="K43">
        <v>196</v>
      </c>
      <c r="L43" s="1" t="s">
        <v>18</v>
      </c>
      <c r="M43" s="1" t="s">
        <v>57</v>
      </c>
      <c r="N43" s="1" t="s">
        <v>19</v>
      </c>
      <c r="O43">
        <v>995</v>
      </c>
      <c r="P43">
        <v>86</v>
      </c>
      <c r="Q43">
        <v>22788</v>
      </c>
      <c r="R43" s="33">
        <f>(Posts[[#This Row],[Likes]]+Posts[[#This Row],[Comments]]+Posts[[#This Row],[Shares]])/Posts[[#This Row],[Impressions]]*100</f>
        <v>4.5247823769763729</v>
      </c>
      <c r="S43">
        <v>265</v>
      </c>
      <c r="T43">
        <f>Posts[[#This Row],[New_Followers]]-Posts[[#This Row],[Unfollows]]</f>
        <v>909</v>
      </c>
      <c r="U43" s="32">
        <f>Posts[[#This Row],[Engagement Rate]]/Posts[[#This Row],[Ad_Spend]]</f>
        <v>1.9855987260735357E-4</v>
      </c>
    </row>
    <row r="44" spans="1:21" x14ac:dyDescent="0.25">
      <c r="A44" s="1" t="s">
        <v>103</v>
      </c>
      <c r="B44" s="1" t="s">
        <v>11</v>
      </c>
      <c r="C44" s="2">
        <v>45370</v>
      </c>
      <c r="D44" s="1" t="s">
        <v>54</v>
      </c>
      <c r="E44" t="s">
        <v>439</v>
      </c>
      <c r="F44">
        <v>2878</v>
      </c>
      <c r="G44">
        <v>278</v>
      </c>
      <c r="H44">
        <v>255</v>
      </c>
      <c r="I44">
        <v>47235</v>
      </c>
      <c r="J44">
        <v>57922</v>
      </c>
      <c r="K44">
        <v>112</v>
      </c>
      <c r="L44" s="1" t="s">
        <v>22</v>
      </c>
      <c r="M44" s="1" t="s">
        <v>18</v>
      </c>
      <c r="N44" s="1" t="s">
        <v>19</v>
      </c>
      <c r="O44">
        <v>1402</v>
      </c>
      <c r="P44">
        <v>68</v>
      </c>
      <c r="Q44">
        <v>23125</v>
      </c>
      <c r="R44" s="33">
        <f>(Posts[[#This Row],[Likes]]+Posts[[#This Row],[Comments]]+Posts[[#This Row],[Shares]])/Posts[[#This Row],[Impressions]]*100</f>
        <v>7.2213401079707848</v>
      </c>
      <c r="S44">
        <v>195</v>
      </c>
      <c r="T44">
        <f>Posts[[#This Row],[New_Followers]]-Posts[[#This Row],[Unfollows]]</f>
        <v>1334</v>
      </c>
      <c r="U44" s="32">
        <f>Posts[[#This Row],[Engagement Rate]]/Posts[[#This Row],[Ad_Spend]]</f>
        <v>3.1227416683116908E-4</v>
      </c>
    </row>
    <row r="45" spans="1:21" x14ac:dyDescent="0.25">
      <c r="A45" s="1" t="s">
        <v>104</v>
      </c>
      <c r="B45" s="1" t="s">
        <v>17</v>
      </c>
      <c r="C45" s="2">
        <v>45370</v>
      </c>
      <c r="D45" s="1" t="s">
        <v>54</v>
      </c>
      <c r="E45" t="s">
        <v>439</v>
      </c>
      <c r="F45">
        <v>2191</v>
      </c>
      <c r="G45">
        <v>288</v>
      </c>
      <c r="H45">
        <v>83</v>
      </c>
      <c r="I45">
        <v>59606</v>
      </c>
      <c r="J45">
        <v>24765</v>
      </c>
      <c r="K45">
        <v>281</v>
      </c>
      <c r="L45" s="1" t="s">
        <v>22</v>
      </c>
      <c r="M45" s="1" t="s">
        <v>57</v>
      </c>
      <c r="N45" s="1" t="s">
        <v>23</v>
      </c>
      <c r="O45">
        <v>995</v>
      </c>
      <c r="P45">
        <v>86</v>
      </c>
      <c r="Q45">
        <v>22788</v>
      </c>
      <c r="R45" s="33">
        <f>(Posts[[#This Row],[Likes]]+Posts[[#This Row],[Comments]]+Posts[[#This Row],[Shares]])/Posts[[#This Row],[Impressions]]*100</f>
        <v>4.2982250109049422</v>
      </c>
      <c r="S45">
        <v>272</v>
      </c>
      <c r="T45">
        <f>Posts[[#This Row],[New_Followers]]-Posts[[#This Row],[Unfollows]]</f>
        <v>909</v>
      </c>
      <c r="U45" s="32">
        <f>Posts[[#This Row],[Engagement Rate]]/Posts[[#This Row],[Ad_Spend]]</f>
        <v>1.8861791341517211E-4</v>
      </c>
    </row>
    <row r="46" spans="1:21" x14ac:dyDescent="0.25">
      <c r="A46" s="1" t="s">
        <v>105</v>
      </c>
      <c r="B46" s="1" t="s">
        <v>11</v>
      </c>
      <c r="C46" s="2">
        <v>45373</v>
      </c>
      <c r="D46" s="1" t="s">
        <v>51</v>
      </c>
      <c r="E46" t="s">
        <v>69</v>
      </c>
      <c r="F46">
        <v>2319</v>
      </c>
      <c r="G46">
        <v>484</v>
      </c>
      <c r="H46">
        <v>193</v>
      </c>
      <c r="I46">
        <v>21202</v>
      </c>
      <c r="J46">
        <v>18091</v>
      </c>
      <c r="K46">
        <v>241</v>
      </c>
      <c r="L46" s="1" t="s">
        <v>18</v>
      </c>
      <c r="M46" s="1" t="s">
        <v>57</v>
      </c>
      <c r="N46" s="1" t="s">
        <v>15</v>
      </c>
      <c r="O46">
        <v>1402</v>
      </c>
      <c r="P46">
        <v>68</v>
      </c>
      <c r="Q46">
        <v>23125</v>
      </c>
      <c r="R46" s="33">
        <f>(Posts[[#This Row],[Likes]]+Posts[[#This Row],[Comments]]+Posts[[#This Row],[Shares]])/Posts[[#This Row],[Impressions]]*100</f>
        <v>14.130742382794075</v>
      </c>
      <c r="S46">
        <v>45</v>
      </c>
      <c r="T46">
        <f>Posts[[#This Row],[New_Followers]]-Posts[[#This Row],[Unfollows]]</f>
        <v>1334</v>
      </c>
      <c r="U46" s="32">
        <f>Posts[[#This Row],[Engagement Rate]]/Posts[[#This Row],[Ad_Spend]]</f>
        <v>6.1105913006677078E-4</v>
      </c>
    </row>
    <row r="47" spans="1:21" x14ac:dyDescent="0.25">
      <c r="A47" s="1" t="s">
        <v>106</v>
      </c>
      <c r="B47" s="1" t="s">
        <v>12</v>
      </c>
      <c r="C47" s="2">
        <v>45376</v>
      </c>
      <c r="D47" s="1" t="s">
        <v>48</v>
      </c>
      <c r="E47" t="s">
        <v>49</v>
      </c>
      <c r="F47">
        <v>1948</v>
      </c>
      <c r="G47">
        <v>155</v>
      </c>
      <c r="H47">
        <v>315</v>
      </c>
      <c r="I47">
        <v>30321</v>
      </c>
      <c r="J47">
        <v>57121</v>
      </c>
      <c r="K47">
        <v>82</v>
      </c>
      <c r="L47" s="1" t="s">
        <v>26</v>
      </c>
      <c r="M47" s="1" t="s">
        <v>22</v>
      </c>
      <c r="N47" s="1" t="s">
        <v>9</v>
      </c>
      <c r="O47">
        <v>1472</v>
      </c>
      <c r="P47">
        <v>296</v>
      </c>
      <c r="Q47">
        <v>7810</v>
      </c>
      <c r="R47" s="33">
        <f>(Posts[[#This Row],[Likes]]+Posts[[#This Row],[Comments]]+Posts[[#This Row],[Shares]])/Posts[[#This Row],[Impressions]]*100</f>
        <v>7.974671020085089</v>
      </c>
      <c r="S47">
        <v>181</v>
      </c>
      <c r="T47">
        <f>Posts[[#This Row],[New_Followers]]-Posts[[#This Row],[Unfollows]]</f>
        <v>1176</v>
      </c>
      <c r="U47" s="32">
        <f>Posts[[#This Row],[Engagement Rate]]/Posts[[#This Row],[Ad_Spend]]</f>
        <v>1.021084637654941E-3</v>
      </c>
    </row>
    <row r="48" spans="1:21" x14ac:dyDescent="0.25">
      <c r="A48" s="1" t="s">
        <v>107</v>
      </c>
      <c r="B48" s="1" t="s">
        <v>12</v>
      </c>
      <c r="C48" s="2">
        <v>45378</v>
      </c>
      <c r="D48" s="1" t="s">
        <v>54</v>
      </c>
      <c r="E48" t="s">
        <v>435</v>
      </c>
      <c r="F48">
        <v>2399</v>
      </c>
      <c r="G48">
        <v>191</v>
      </c>
      <c r="H48">
        <v>221</v>
      </c>
      <c r="I48">
        <v>51603</v>
      </c>
      <c r="J48">
        <v>40033</v>
      </c>
      <c r="K48">
        <v>173</v>
      </c>
      <c r="L48" s="1" t="s">
        <v>26</v>
      </c>
      <c r="M48" s="1" t="s">
        <v>13</v>
      </c>
      <c r="N48" s="1" t="s">
        <v>23</v>
      </c>
      <c r="O48">
        <v>1472</v>
      </c>
      <c r="P48">
        <v>296</v>
      </c>
      <c r="Q48">
        <v>7810</v>
      </c>
      <c r="R48" s="33">
        <f>(Posts[[#This Row],[Likes]]+Posts[[#This Row],[Comments]]+Posts[[#This Row],[Shares]])/Posts[[#This Row],[Impressions]]*100</f>
        <v>5.4473577117609437</v>
      </c>
      <c r="S48">
        <v>240</v>
      </c>
      <c r="T48">
        <f>Posts[[#This Row],[New_Followers]]-Posts[[#This Row],[Unfollows]]</f>
        <v>1176</v>
      </c>
      <c r="U48" s="32">
        <f>Posts[[#This Row],[Engagement Rate]]/Posts[[#This Row],[Ad_Spend]]</f>
        <v>6.9748498229973673E-4</v>
      </c>
    </row>
    <row r="49" spans="1:21" x14ac:dyDescent="0.25">
      <c r="A49" s="36" t="s">
        <v>108</v>
      </c>
      <c r="B49" s="36" t="s">
        <v>17</v>
      </c>
      <c r="C49" s="40">
        <v>45379</v>
      </c>
      <c r="D49" s="36" t="s">
        <v>54</v>
      </c>
      <c r="E49" s="36" t="s">
        <v>435</v>
      </c>
      <c r="F49" s="36">
        <v>3276</v>
      </c>
      <c r="G49" s="36">
        <v>421</v>
      </c>
      <c r="H49" s="36">
        <v>114</v>
      </c>
      <c r="I49" s="36">
        <v>20580</v>
      </c>
      <c r="J49" s="36">
        <v>30324</v>
      </c>
      <c r="K49" s="36">
        <v>221</v>
      </c>
      <c r="L49" s="36" t="s">
        <v>22</v>
      </c>
      <c r="M49" s="36" t="s">
        <v>57</v>
      </c>
      <c r="N49" s="36" t="s">
        <v>23</v>
      </c>
      <c r="O49" s="36">
        <v>995</v>
      </c>
      <c r="P49" s="36">
        <v>86</v>
      </c>
      <c r="Q49" s="36">
        <v>22788</v>
      </c>
      <c r="R49" s="33">
        <f>(Posts[[#This Row],[Likes]]+Posts[[#This Row],[Comments]]+Posts[[#This Row],[Shares]])/Posts[[#This Row],[Impressions]]*100</f>
        <v>18.517978620019438</v>
      </c>
      <c r="S49" s="36">
        <v>10</v>
      </c>
      <c r="T49" s="36">
        <f>Posts[[#This Row],[New_Followers]]-Posts[[#This Row],[Unfollows]]</f>
        <v>909</v>
      </c>
      <c r="U49" s="36">
        <f>Posts[[#This Row],[Engagement Rate]]/Posts[[#This Row],[Ad_Spend]]</f>
        <v>8.126197393373459E-4</v>
      </c>
    </row>
    <row r="50" spans="1:21" x14ac:dyDescent="0.25">
      <c r="A50" s="1" t="s">
        <v>109</v>
      </c>
      <c r="B50" s="1" t="s">
        <v>11</v>
      </c>
      <c r="C50" s="2">
        <v>45379</v>
      </c>
      <c r="D50" s="1" t="s">
        <v>54</v>
      </c>
      <c r="E50" t="s">
        <v>436</v>
      </c>
      <c r="F50">
        <v>1673</v>
      </c>
      <c r="G50">
        <v>280</v>
      </c>
      <c r="H50">
        <v>67</v>
      </c>
      <c r="I50">
        <v>29847</v>
      </c>
      <c r="J50">
        <v>48016</v>
      </c>
      <c r="K50">
        <v>213</v>
      </c>
      <c r="L50" s="1" t="s">
        <v>22</v>
      </c>
      <c r="M50" s="1" t="s">
        <v>18</v>
      </c>
      <c r="N50" s="1" t="s">
        <v>19</v>
      </c>
      <c r="O50">
        <v>1402</v>
      </c>
      <c r="P50">
        <v>68</v>
      </c>
      <c r="Q50">
        <v>23125</v>
      </c>
      <c r="R50" s="33">
        <f>(Posts[[#This Row],[Likes]]+Posts[[#This Row],[Comments]]+Posts[[#This Row],[Shares]])/Posts[[#This Row],[Impressions]]*100</f>
        <v>6.7678493650953202</v>
      </c>
      <c r="S50">
        <v>207</v>
      </c>
      <c r="T50">
        <f>Posts[[#This Row],[New_Followers]]-Posts[[#This Row],[Unfollows]]</f>
        <v>1334</v>
      </c>
      <c r="U50" s="32">
        <f>Posts[[#This Row],[Engagement Rate]]/Posts[[#This Row],[Ad_Spend]]</f>
        <v>2.926637563284463E-4</v>
      </c>
    </row>
    <row r="51" spans="1:21" x14ac:dyDescent="0.25">
      <c r="A51" s="10" t="s">
        <v>110</v>
      </c>
      <c r="B51" s="10" t="s">
        <v>12</v>
      </c>
      <c r="C51" s="23">
        <v>45384</v>
      </c>
      <c r="D51" s="10" t="s">
        <v>48</v>
      </c>
      <c r="E51" s="10" t="s">
        <v>74</v>
      </c>
      <c r="F51" s="10">
        <v>4563</v>
      </c>
      <c r="G51" s="10">
        <v>488</v>
      </c>
      <c r="H51" s="10">
        <v>356</v>
      </c>
      <c r="I51" s="10">
        <v>30619</v>
      </c>
      <c r="J51" s="10">
        <v>23328</v>
      </c>
      <c r="K51" s="10">
        <v>267</v>
      </c>
      <c r="L51" s="10" t="s">
        <v>26</v>
      </c>
      <c r="M51" s="10" t="s">
        <v>22</v>
      </c>
      <c r="N51" s="10" t="s">
        <v>9</v>
      </c>
      <c r="O51" s="10">
        <v>1472</v>
      </c>
      <c r="P51" s="10">
        <v>296</v>
      </c>
      <c r="Q51" s="10">
        <v>7810</v>
      </c>
      <c r="R51" s="34">
        <f>(Posts[[#This Row],[Likes]]+Posts[[#This Row],[Comments]]+Posts[[#This Row],[Shares]])/Posts[[#This Row],[Impressions]]*100</f>
        <v>17.658969920637514</v>
      </c>
      <c r="S51">
        <v>14</v>
      </c>
      <c r="T51" s="10">
        <f>Posts[[#This Row],[New_Followers]]-Posts[[#This Row],[Unfollows]]</f>
        <v>1176</v>
      </c>
      <c r="U51" s="10">
        <f>Posts[[#This Row],[Engagement Rate]]/Posts[[#This Row],[Ad_Spend]]</f>
        <v>2.2610716927832925E-3</v>
      </c>
    </row>
    <row r="52" spans="1:21" x14ac:dyDescent="0.25">
      <c r="A52" s="1" t="s">
        <v>111</v>
      </c>
      <c r="B52" s="1" t="s">
        <v>17</v>
      </c>
      <c r="C52" s="2">
        <v>45385</v>
      </c>
      <c r="D52" s="1" t="s">
        <v>51</v>
      </c>
      <c r="E52" t="s">
        <v>55</v>
      </c>
      <c r="F52">
        <v>2291</v>
      </c>
      <c r="G52">
        <v>146</v>
      </c>
      <c r="H52">
        <v>399</v>
      </c>
      <c r="I52">
        <v>49319</v>
      </c>
      <c r="J52">
        <v>28056</v>
      </c>
      <c r="K52">
        <v>90</v>
      </c>
      <c r="L52" s="1" t="s">
        <v>26</v>
      </c>
      <c r="M52" s="1" t="s">
        <v>14</v>
      </c>
      <c r="N52" s="1" t="s">
        <v>19</v>
      </c>
      <c r="O52">
        <v>995</v>
      </c>
      <c r="P52">
        <v>86</v>
      </c>
      <c r="Q52">
        <v>22788</v>
      </c>
      <c r="R52" s="33">
        <f>(Posts[[#This Row],[Likes]]+Posts[[#This Row],[Comments]]+Posts[[#This Row],[Shares]])/Posts[[#This Row],[Impressions]]*100</f>
        <v>5.750319349540745</v>
      </c>
      <c r="S52">
        <v>232</v>
      </c>
      <c r="T52">
        <f>Posts[[#This Row],[New_Followers]]-Posts[[#This Row],[Unfollows]]</f>
        <v>909</v>
      </c>
      <c r="U52" s="32">
        <f>Posts[[#This Row],[Engagement Rate]]/Posts[[#This Row],[Ad_Spend]]</f>
        <v>2.5233979943570061E-4</v>
      </c>
    </row>
    <row r="53" spans="1:21" x14ac:dyDescent="0.25">
      <c r="A53" s="1" t="s">
        <v>112</v>
      </c>
      <c r="B53" s="1" t="s">
        <v>11</v>
      </c>
      <c r="C53" s="2">
        <v>45385</v>
      </c>
      <c r="D53" s="1" t="s">
        <v>54</v>
      </c>
      <c r="E53" t="s">
        <v>55</v>
      </c>
      <c r="F53">
        <v>2762</v>
      </c>
      <c r="G53">
        <v>339</v>
      </c>
      <c r="H53">
        <v>323</v>
      </c>
      <c r="I53">
        <v>33757</v>
      </c>
      <c r="J53">
        <v>68511</v>
      </c>
      <c r="K53">
        <v>121</v>
      </c>
      <c r="L53" s="1" t="s">
        <v>22</v>
      </c>
      <c r="M53" s="1" t="s">
        <v>18</v>
      </c>
      <c r="N53" s="1" t="s">
        <v>19</v>
      </c>
      <c r="O53">
        <v>1402</v>
      </c>
      <c r="P53">
        <v>68</v>
      </c>
      <c r="Q53">
        <v>23125</v>
      </c>
      <c r="R53" s="33">
        <f>(Posts[[#This Row],[Likes]]+Posts[[#This Row],[Comments]]+Posts[[#This Row],[Shares]])/Posts[[#This Row],[Impressions]]*100</f>
        <v>10.143081434961637</v>
      </c>
      <c r="S53">
        <v>106</v>
      </c>
      <c r="T53">
        <f>Posts[[#This Row],[New_Followers]]-Posts[[#This Row],[Unfollows]]</f>
        <v>1334</v>
      </c>
      <c r="U53" s="32">
        <f>Posts[[#This Row],[Engagement Rate]]/Posts[[#This Row],[Ad_Spend]]</f>
        <v>4.3861973772807081E-4</v>
      </c>
    </row>
    <row r="54" spans="1:21" x14ac:dyDescent="0.25">
      <c r="A54" s="1" t="s">
        <v>113</v>
      </c>
      <c r="B54" s="1" t="s">
        <v>17</v>
      </c>
      <c r="C54" s="2">
        <v>45387</v>
      </c>
      <c r="D54" s="1" t="s">
        <v>51</v>
      </c>
      <c r="E54" t="s">
        <v>438</v>
      </c>
      <c r="F54">
        <v>2857</v>
      </c>
      <c r="G54">
        <v>443</v>
      </c>
      <c r="H54">
        <v>359</v>
      </c>
      <c r="I54">
        <v>51519</v>
      </c>
      <c r="J54">
        <v>28256</v>
      </c>
      <c r="K54">
        <v>155</v>
      </c>
      <c r="L54" s="1" t="s">
        <v>22</v>
      </c>
      <c r="M54" s="1" t="s">
        <v>18</v>
      </c>
      <c r="N54" s="1" t="s">
        <v>19</v>
      </c>
      <c r="O54">
        <v>995</v>
      </c>
      <c r="P54">
        <v>86</v>
      </c>
      <c r="Q54">
        <v>22788</v>
      </c>
      <c r="R54" s="33">
        <f>(Posts[[#This Row],[Likes]]+Posts[[#This Row],[Comments]]+Posts[[#This Row],[Shares]])/Posts[[#This Row],[Impressions]]*100</f>
        <v>7.102234127215203</v>
      </c>
      <c r="S54">
        <v>198</v>
      </c>
      <c r="T54">
        <f>Posts[[#This Row],[New_Followers]]-Posts[[#This Row],[Unfollows]]</f>
        <v>909</v>
      </c>
      <c r="U54" s="32">
        <f>Posts[[#This Row],[Engagement Rate]]/Posts[[#This Row],[Ad_Spend]]</f>
        <v>3.116655312978411E-4</v>
      </c>
    </row>
    <row r="55" spans="1:21" x14ac:dyDescent="0.25">
      <c r="A55" s="10" t="s">
        <v>114</v>
      </c>
      <c r="B55" s="10" t="s">
        <v>17</v>
      </c>
      <c r="C55" s="23">
        <v>45387</v>
      </c>
      <c r="D55" s="10" t="s">
        <v>51</v>
      </c>
      <c r="E55" s="10" t="s">
        <v>437</v>
      </c>
      <c r="F55" s="10">
        <v>4965</v>
      </c>
      <c r="G55" s="10">
        <v>175</v>
      </c>
      <c r="H55" s="10">
        <v>307</v>
      </c>
      <c r="I55" s="10">
        <v>32793</v>
      </c>
      <c r="J55" s="10">
        <v>43412</v>
      </c>
      <c r="K55" s="10">
        <v>296</v>
      </c>
      <c r="L55" s="10" t="s">
        <v>22</v>
      </c>
      <c r="M55" s="10" t="s">
        <v>18</v>
      </c>
      <c r="N55" s="10" t="s">
        <v>19</v>
      </c>
      <c r="O55" s="10">
        <v>995</v>
      </c>
      <c r="P55" s="10">
        <v>86</v>
      </c>
      <c r="Q55" s="10">
        <v>22788</v>
      </c>
      <c r="R55" s="34">
        <f>(Posts[[#This Row],[Likes]]+Posts[[#This Row],[Comments]]+Posts[[#This Row],[Shares]])/Posts[[#This Row],[Impressions]]*100</f>
        <v>16.610252187966946</v>
      </c>
      <c r="S55">
        <v>21</v>
      </c>
      <c r="T55" s="10">
        <f>Posts[[#This Row],[New_Followers]]-Posts[[#This Row],[Unfollows]]</f>
        <v>909</v>
      </c>
      <c r="U55" s="10">
        <f>Posts[[#This Row],[Engagement Rate]]/Posts[[#This Row],[Ad_Spend]]</f>
        <v>7.2890346620883557E-4</v>
      </c>
    </row>
    <row r="56" spans="1:21" x14ac:dyDescent="0.25">
      <c r="A56" s="1" t="s">
        <v>115</v>
      </c>
      <c r="B56" s="1" t="s">
        <v>11</v>
      </c>
      <c r="C56" s="2">
        <v>45387</v>
      </c>
      <c r="D56" s="1" t="s">
        <v>54</v>
      </c>
      <c r="E56" t="s">
        <v>438</v>
      </c>
      <c r="F56">
        <v>4383</v>
      </c>
      <c r="G56">
        <v>352</v>
      </c>
      <c r="H56">
        <v>176</v>
      </c>
      <c r="I56">
        <v>53239</v>
      </c>
      <c r="J56">
        <v>34168</v>
      </c>
      <c r="K56">
        <v>288</v>
      </c>
      <c r="L56" s="1" t="s">
        <v>26</v>
      </c>
      <c r="M56" s="1" t="s">
        <v>57</v>
      </c>
      <c r="N56" s="1" t="s">
        <v>23</v>
      </c>
      <c r="O56">
        <v>1402</v>
      </c>
      <c r="P56">
        <v>68</v>
      </c>
      <c r="Q56">
        <v>23125</v>
      </c>
      <c r="R56" s="33">
        <f>(Posts[[#This Row],[Likes]]+Posts[[#This Row],[Comments]]+Posts[[#This Row],[Shares]])/Posts[[#This Row],[Impressions]]*100</f>
        <v>9.2244407295403743</v>
      </c>
      <c r="S56">
        <v>134</v>
      </c>
      <c r="T56">
        <f>Posts[[#This Row],[New_Followers]]-Posts[[#This Row],[Unfollows]]</f>
        <v>1334</v>
      </c>
      <c r="U56" s="32">
        <f>Posts[[#This Row],[Engagement Rate]]/Posts[[#This Row],[Ad_Spend]]</f>
        <v>3.9889473425039454E-4</v>
      </c>
    </row>
    <row r="57" spans="1:21" x14ac:dyDescent="0.25">
      <c r="A57" s="1" t="s">
        <v>116</v>
      </c>
      <c r="B57" s="1" t="s">
        <v>12</v>
      </c>
      <c r="C57" s="2">
        <v>45388</v>
      </c>
      <c r="D57" s="1" t="s">
        <v>54</v>
      </c>
      <c r="E57" t="s">
        <v>435</v>
      </c>
      <c r="F57">
        <v>2748</v>
      </c>
      <c r="G57">
        <v>145</v>
      </c>
      <c r="H57">
        <v>315</v>
      </c>
      <c r="I57">
        <v>24401</v>
      </c>
      <c r="J57">
        <v>61182</v>
      </c>
      <c r="K57">
        <v>200</v>
      </c>
      <c r="L57" s="1" t="s">
        <v>26</v>
      </c>
      <c r="M57" s="1" t="s">
        <v>13</v>
      </c>
      <c r="N57" s="1" t="s">
        <v>23</v>
      </c>
      <c r="O57">
        <v>1472</v>
      </c>
      <c r="P57">
        <v>296</v>
      </c>
      <c r="Q57">
        <v>7810</v>
      </c>
      <c r="R57" s="33">
        <f>(Posts[[#This Row],[Likes]]+Posts[[#This Row],[Comments]]+Posts[[#This Row],[Shares]])/Posts[[#This Row],[Impressions]]*100</f>
        <v>13.14700217204213</v>
      </c>
      <c r="S57">
        <v>54</v>
      </c>
      <c r="T57">
        <f>Posts[[#This Row],[New_Followers]]-Posts[[#This Row],[Unfollows]]</f>
        <v>1176</v>
      </c>
      <c r="U57" s="32">
        <f>Posts[[#This Row],[Engagement Rate]]/Posts[[#This Row],[Ad_Spend]]</f>
        <v>1.6833549516059067E-3</v>
      </c>
    </row>
    <row r="58" spans="1:21" x14ac:dyDescent="0.25">
      <c r="A58" s="1" t="s">
        <v>117</v>
      </c>
      <c r="B58" s="1" t="s">
        <v>11</v>
      </c>
      <c r="C58" s="2">
        <v>45394</v>
      </c>
      <c r="D58" s="1" t="s">
        <v>51</v>
      </c>
      <c r="E58" t="s">
        <v>89</v>
      </c>
      <c r="F58">
        <v>1558</v>
      </c>
      <c r="G58">
        <v>352</v>
      </c>
      <c r="H58">
        <v>202</v>
      </c>
      <c r="I58">
        <v>25405</v>
      </c>
      <c r="J58">
        <v>69941</v>
      </c>
      <c r="K58">
        <v>219</v>
      </c>
      <c r="L58" s="1" t="s">
        <v>18</v>
      </c>
      <c r="M58" s="1" t="s">
        <v>57</v>
      </c>
      <c r="N58" s="1" t="s">
        <v>15</v>
      </c>
      <c r="O58">
        <v>1402</v>
      </c>
      <c r="P58">
        <v>68</v>
      </c>
      <c r="Q58">
        <v>23125</v>
      </c>
      <c r="R58" s="33">
        <f>(Posts[[#This Row],[Likes]]+Posts[[#This Row],[Comments]]+Posts[[#This Row],[Shares]])/Posts[[#This Row],[Impressions]]*100</f>
        <v>8.3133241487896079</v>
      </c>
      <c r="S58">
        <v>164</v>
      </c>
      <c r="T58">
        <f>Posts[[#This Row],[New_Followers]]-Posts[[#This Row],[Unfollows]]</f>
        <v>1334</v>
      </c>
      <c r="U58" s="32">
        <f>Posts[[#This Row],[Engagement Rate]]/Posts[[#This Row],[Ad_Spend]]</f>
        <v>3.5949509832603708E-4</v>
      </c>
    </row>
    <row r="59" spans="1:21" x14ac:dyDescent="0.25">
      <c r="A59" s="1" t="s">
        <v>118</v>
      </c>
      <c r="B59" s="1" t="s">
        <v>17</v>
      </c>
      <c r="C59" s="2">
        <v>45396</v>
      </c>
      <c r="D59" s="1" t="s">
        <v>51</v>
      </c>
      <c r="E59" t="s">
        <v>69</v>
      </c>
      <c r="F59">
        <v>1295</v>
      </c>
      <c r="G59">
        <v>153</v>
      </c>
      <c r="H59">
        <v>81</v>
      </c>
      <c r="I59">
        <v>48350</v>
      </c>
      <c r="J59">
        <v>61033</v>
      </c>
      <c r="K59">
        <v>232</v>
      </c>
      <c r="L59" s="1" t="s">
        <v>26</v>
      </c>
      <c r="M59" s="1" t="s">
        <v>14</v>
      </c>
      <c r="N59" s="1" t="s">
        <v>19</v>
      </c>
      <c r="O59">
        <v>995</v>
      </c>
      <c r="P59">
        <v>86</v>
      </c>
      <c r="Q59">
        <v>22788</v>
      </c>
      <c r="R59" s="33">
        <f>(Posts[[#This Row],[Likes]]+Posts[[#This Row],[Comments]]+Posts[[#This Row],[Shares]])/Posts[[#This Row],[Impressions]]*100</f>
        <v>3.1623578076525334</v>
      </c>
      <c r="S59">
        <v>296</v>
      </c>
      <c r="T59">
        <f>Posts[[#This Row],[New_Followers]]-Posts[[#This Row],[Unfollows]]</f>
        <v>909</v>
      </c>
      <c r="U59" s="32">
        <f>Posts[[#This Row],[Engagement Rate]]/Posts[[#This Row],[Ad_Spend]]</f>
        <v>1.3877294223505938E-4</v>
      </c>
    </row>
    <row r="60" spans="1:21" x14ac:dyDescent="0.25">
      <c r="A60" s="1" t="s">
        <v>119</v>
      </c>
      <c r="B60" s="1" t="s">
        <v>12</v>
      </c>
      <c r="C60" s="2">
        <v>45398</v>
      </c>
      <c r="D60" s="1" t="s">
        <v>54</v>
      </c>
      <c r="E60" t="s">
        <v>69</v>
      </c>
      <c r="F60">
        <v>4674</v>
      </c>
      <c r="G60">
        <v>326</v>
      </c>
      <c r="H60">
        <v>62</v>
      </c>
      <c r="I60">
        <v>45503</v>
      </c>
      <c r="J60">
        <v>46814</v>
      </c>
      <c r="K60">
        <v>116</v>
      </c>
      <c r="L60" s="1" t="s">
        <v>26</v>
      </c>
      <c r="M60" s="1" t="s">
        <v>13</v>
      </c>
      <c r="N60" s="1" t="s">
        <v>23</v>
      </c>
      <c r="O60">
        <v>1472</v>
      </c>
      <c r="P60">
        <v>296</v>
      </c>
      <c r="Q60">
        <v>7810</v>
      </c>
      <c r="R60" s="33">
        <f>(Posts[[#This Row],[Likes]]+Posts[[#This Row],[Comments]]+Posts[[#This Row],[Shares]])/Posts[[#This Row],[Impressions]]*100</f>
        <v>11.124541239039184</v>
      </c>
      <c r="S60">
        <v>79</v>
      </c>
      <c r="T60">
        <f>Posts[[#This Row],[New_Followers]]-Posts[[#This Row],[Unfollows]]</f>
        <v>1176</v>
      </c>
      <c r="U60" s="32">
        <f>Posts[[#This Row],[Engagement Rate]]/Posts[[#This Row],[Ad_Spend]]</f>
        <v>1.4243970856644282E-3</v>
      </c>
    </row>
    <row r="61" spans="1:21" x14ac:dyDescent="0.25">
      <c r="A61" s="10" t="s">
        <v>120</v>
      </c>
      <c r="B61" s="10" t="s">
        <v>12</v>
      </c>
      <c r="C61" s="23">
        <v>45400</v>
      </c>
      <c r="D61" s="10" t="s">
        <v>54</v>
      </c>
      <c r="E61" s="10" t="s">
        <v>49</v>
      </c>
      <c r="F61" s="10">
        <v>4023</v>
      </c>
      <c r="G61" s="10">
        <v>293</v>
      </c>
      <c r="H61" s="10">
        <v>91</v>
      </c>
      <c r="I61" s="10">
        <v>26795</v>
      </c>
      <c r="J61" s="10">
        <v>28924</v>
      </c>
      <c r="K61" s="10">
        <v>278</v>
      </c>
      <c r="L61" s="10" t="s">
        <v>26</v>
      </c>
      <c r="M61" s="10" t="s">
        <v>13</v>
      </c>
      <c r="N61" s="10" t="s">
        <v>23</v>
      </c>
      <c r="O61" s="10">
        <v>1472</v>
      </c>
      <c r="P61" s="10">
        <v>296</v>
      </c>
      <c r="Q61" s="10">
        <v>7810</v>
      </c>
      <c r="R61" s="34">
        <f>(Posts[[#This Row],[Likes]]+Posts[[#This Row],[Comments]]+Posts[[#This Row],[Shares]])/Posts[[#This Row],[Impressions]]*100</f>
        <v>16.447098339242398</v>
      </c>
      <c r="S61">
        <v>23</v>
      </c>
      <c r="T61" s="10">
        <f>Posts[[#This Row],[New_Followers]]-Posts[[#This Row],[Unfollows]]</f>
        <v>1176</v>
      </c>
      <c r="U61" s="10">
        <f>Posts[[#This Row],[Engagement Rate]]/Posts[[#This Row],[Ad_Spend]]</f>
        <v>2.1059024762154158E-3</v>
      </c>
    </row>
    <row r="62" spans="1:21" x14ac:dyDescent="0.25">
      <c r="A62" s="1" t="s">
        <v>121</v>
      </c>
      <c r="B62" s="1" t="s">
        <v>11</v>
      </c>
      <c r="C62" s="2">
        <v>45401</v>
      </c>
      <c r="D62" s="1" t="s">
        <v>54</v>
      </c>
      <c r="E62" t="s">
        <v>438</v>
      </c>
      <c r="F62">
        <v>4001</v>
      </c>
      <c r="G62">
        <v>353</v>
      </c>
      <c r="H62">
        <v>129</v>
      </c>
      <c r="I62">
        <v>41265</v>
      </c>
      <c r="J62">
        <v>37279</v>
      </c>
      <c r="K62">
        <v>275</v>
      </c>
      <c r="L62" s="1" t="s">
        <v>22</v>
      </c>
      <c r="M62" s="1" t="s">
        <v>18</v>
      </c>
      <c r="N62" s="1" t="s">
        <v>19</v>
      </c>
      <c r="O62">
        <v>1402</v>
      </c>
      <c r="P62">
        <v>68</v>
      </c>
      <c r="Q62">
        <v>23125</v>
      </c>
      <c r="R62" s="33">
        <f>(Posts[[#This Row],[Likes]]+Posts[[#This Row],[Comments]]+Posts[[#This Row],[Shares]])/Posts[[#This Row],[Impressions]]*100</f>
        <v>10.863928268508422</v>
      </c>
      <c r="S62">
        <v>87</v>
      </c>
      <c r="T62">
        <f>Posts[[#This Row],[New_Followers]]-Posts[[#This Row],[Unfollows]]</f>
        <v>1334</v>
      </c>
      <c r="U62" s="32">
        <f>Posts[[#This Row],[Engagement Rate]]/Posts[[#This Row],[Ad_Spend]]</f>
        <v>4.6979149269225608E-4</v>
      </c>
    </row>
    <row r="63" spans="1:21" x14ac:dyDescent="0.25">
      <c r="A63" s="1" t="s">
        <v>122</v>
      </c>
      <c r="B63" s="1" t="s">
        <v>17</v>
      </c>
      <c r="C63" s="2">
        <v>45405</v>
      </c>
      <c r="D63" s="1" t="s">
        <v>51</v>
      </c>
      <c r="E63" t="s">
        <v>69</v>
      </c>
      <c r="F63">
        <v>2683</v>
      </c>
      <c r="G63">
        <v>496</v>
      </c>
      <c r="H63">
        <v>89</v>
      </c>
      <c r="I63">
        <v>53435</v>
      </c>
      <c r="J63">
        <v>30334</v>
      </c>
      <c r="K63">
        <v>160</v>
      </c>
      <c r="L63" s="1" t="s">
        <v>22</v>
      </c>
      <c r="M63" s="1" t="s">
        <v>18</v>
      </c>
      <c r="N63" s="1" t="s">
        <v>19</v>
      </c>
      <c r="O63">
        <v>995</v>
      </c>
      <c r="P63">
        <v>86</v>
      </c>
      <c r="Q63">
        <v>22788</v>
      </c>
      <c r="R63" s="33">
        <f>(Posts[[#This Row],[Likes]]+Posts[[#This Row],[Comments]]+Posts[[#This Row],[Shares]])/Posts[[#This Row],[Impressions]]*100</f>
        <v>6.1158416768035933</v>
      </c>
      <c r="S63">
        <v>220</v>
      </c>
      <c r="T63">
        <f>Posts[[#This Row],[New_Followers]]-Posts[[#This Row],[Unfollows]]</f>
        <v>909</v>
      </c>
      <c r="U63" s="32">
        <f>Posts[[#This Row],[Engagement Rate]]/Posts[[#This Row],[Ad_Spend]]</f>
        <v>2.6837992262610118E-4</v>
      </c>
    </row>
    <row r="64" spans="1:21" x14ac:dyDescent="0.25">
      <c r="A64" s="1" t="s">
        <v>123</v>
      </c>
      <c r="B64" s="1" t="s">
        <v>11</v>
      </c>
      <c r="C64" s="2">
        <v>45407</v>
      </c>
      <c r="D64" s="1" t="s">
        <v>54</v>
      </c>
      <c r="E64" t="s">
        <v>435</v>
      </c>
      <c r="F64">
        <v>3563</v>
      </c>
      <c r="G64">
        <v>483</v>
      </c>
      <c r="H64">
        <v>227</v>
      </c>
      <c r="I64">
        <v>41085</v>
      </c>
      <c r="J64">
        <v>26393</v>
      </c>
      <c r="K64">
        <v>236</v>
      </c>
      <c r="L64" s="1" t="s">
        <v>22</v>
      </c>
      <c r="M64" s="1" t="s">
        <v>18</v>
      </c>
      <c r="N64" s="1" t="s">
        <v>19</v>
      </c>
      <c r="O64">
        <v>1402</v>
      </c>
      <c r="P64">
        <v>68</v>
      </c>
      <c r="Q64">
        <v>23125</v>
      </c>
      <c r="R64" s="33">
        <f>(Posts[[#This Row],[Likes]]+Posts[[#This Row],[Comments]]+Posts[[#This Row],[Shares]])/Posts[[#This Row],[Impressions]]*100</f>
        <v>10.400389436534015</v>
      </c>
      <c r="S64">
        <v>100</v>
      </c>
      <c r="T64">
        <f>Posts[[#This Row],[New_Followers]]-Posts[[#This Row],[Unfollows]]</f>
        <v>1334</v>
      </c>
      <c r="U64" s="32">
        <f>Posts[[#This Row],[Engagement Rate]]/Posts[[#This Row],[Ad_Spend]]</f>
        <v>4.4974657022849794E-4</v>
      </c>
    </row>
    <row r="65" spans="1:21" x14ac:dyDescent="0.25">
      <c r="A65" s="1" t="s">
        <v>124</v>
      </c>
      <c r="B65" s="1" t="s">
        <v>11</v>
      </c>
      <c r="C65" s="2">
        <v>45413</v>
      </c>
      <c r="D65" s="1" t="s">
        <v>54</v>
      </c>
      <c r="E65" t="s">
        <v>436</v>
      </c>
      <c r="F65">
        <v>3359</v>
      </c>
      <c r="G65">
        <v>137</v>
      </c>
      <c r="H65">
        <v>387</v>
      </c>
      <c r="I65">
        <v>33861</v>
      </c>
      <c r="J65">
        <v>47257</v>
      </c>
      <c r="K65">
        <v>198</v>
      </c>
      <c r="L65" s="1" t="s">
        <v>26</v>
      </c>
      <c r="M65" s="1" t="s">
        <v>57</v>
      </c>
      <c r="N65" s="1" t="s">
        <v>23</v>
      </c>
      <c r="O65">
        <v>1402</v>
      </c>
      <c r="P65">
        <v>68</v>
      </c>
      <c r="Q65">
        <v>23125</v>
      </c>
      <c r="R65" s="33">
        <f>(Posts[[#This Row],[Likes]]+Posts[[#This Row],[Comments]]+Posts[[#This Row],[Shares]])/Posts[[#This Row],[Impressions]]*100</f>
        <v>11.467469950680725</v>
      </c>
      <c r="S65">
        <v>72</v>
      </c>
      <c r="T65">
        <f>Posts[[#This Row],[New_Followers]]-Posts[[#This Row],[Unfollows]]</f>
        <v>1334</v>
      </c>
      <c r="U65" s="32">
        <f>Posts[[#This Row],[Engagement Rate]]/Posts[[#This Row],[Ad_Spend]]</f>
        <v>4.9589059246186919E-4</v>
      </c>
    </row>
    <row r="66" spans="1:21" x14ac:dyDescent="0.25">
      <c r="A66" s="1" t="s">
        <v>125</v>
      </c>
      <c r="B66" s="1" t="s">
        <v>17</v>
      </c>
      <c r="C66" s="2">
        <v>45413</v>
      </c>
      <c r="D66" s="1" t="s">
        <v>51</v>
      </c>
      <c r="E66" t="s">
        <v>89</v>
      </c>
      <c r="F66">
        <v>2587</v>
      </c>
      <c r="G66">
        <v>447</v>
      </c>
      <c r="H66">
        <v>183</v>
      </c>
      <c r="I66">
        <v>36266</v>
      </c>
      <c r="J66">
        <v>32877</v>
      </c>
      <c r="K66">
        <v>132</v>
      </c>
      <c r="L66" s="1" t="s">
        <v>26</v>
      </c>
      <c r="M66" s="1" t="s">
        <v>14</v>
      </c>
      <c r="N66" s="1" t="s">
        <v>19</v>
      </c>
      <c r="O66">
        <v>995</v>
      </c>
      <c r="P66">
        <v>86</v>
      </c>
      <c r="Q66">
        <v>22788</v>
      </c>
      <c r="R66" s="33">
        <f>(Posts[[#This Row],[Likes]]+Posts[[#This Row],[Comments]]+Posts[[#This Row],[Shares]])/Posts[[#This Row],[Impressions]]*100</f>
        <v>8.8705674736667941</v>
      </c>
      <c r="S66">
        <v>140</v>
      </c>
      <c r="T66">
        <f>Posts[[#This Row],[New_Followers]]-Posts[[#This Row],[Unfollows]]</f>
        <v>909</v>
      </c>
      <c r="U66" s="32">
        <f>Posts[[#This Row],[Engagement Rate]]/Posts[[#This Row],[Ad_Spend]]</f>
        <v>3.8926485315371223E-4</v>
      </c>
    </row>
    <row r="67" spans="1:21" x14ac:dyDescent="0.25">
      <c r="A67" s="1" t="s">
        <v>126</v>
      </c>
      <c r="B67" s="1" t="s">
        <v>11</v>
      </c>
      <c r="C67" s="2">
        <v>45416</v>
      </c>
      <c r="D67" s="1" t="s">
        <v>54</v>
      </c>
      <c r="E67" t="s">
        <v>437</v>
      </c>
      <c r="F67">
        <v>2274</v>
      </c>
      <c r="G67">
        <v>243</v>
      </c>
      <c r="H67">
        <v>222</v>
      </c>
      <c r="I67">
        <v>43066</v>
      </c>
      <c r="J67">
        <v>59174</v>
      </c>
      <c r="K67">
        <v>80</v>
      </c>
      <c r="L67" s="1" t="s">
        <v>26</v>
      </c>
      <c r="M67" s="1" t="s">
        <v>57</v>
      </c>
      <c r="N67" s="1" t="s">
        <v>23</v>
      </c>
      <c r="O67">
        <v>1402</v>
      </c>
      <c r="P67">
        <v>68</v>
      </c>
      <c r="Q67">
        <v>23125</v>
      </c>
      <c r="R67" s="33">
        <f>(Posts[[#This Row],[Likes]]+Posts[[#This Row],[Comments]]+Posts[[#This Row],[Shares]])/Posts[[#This Row],[Impressions]]*100</f>
        <v>6.3600055728416844</v>
      </c>
      <c r="S67">
        <v>215</v>
      </c>
      <c r="T67">
        <f>Posts[[#This Row],[New_Followers]]-Posts[[#This Row],[Unfollows]]</f>
        <v>1334</v>
      </c>
      <c r="U67" s="32">
        <f>Posts[[#This Row],[Engagement Rate]]/Posts[[#This Row],[Ad_Spend]]</f>
        <v>2.7502726801477553E-4</v>
      </c>
    </row>
    <row r="68" spans="1:21" x14ac:dyDescent="0.25">
      <c r="A68" s="1" t="s">
        <v>127</v>
      </c>
      <c r="B68" s="1" t="s">
        <v>17</v>
      </c>
      <c r="C68" s="2">
        <v>45418</v>
      </c>
      <c r="D68" s="1" t="s">
        <v>54</v>
      </c>
      <c r="E68" t="s">
        <v>74</v>
      </c>
      <c r="F68">
        <v>3476</v>
      </c>
      <c r="G68">
        <v>355</v>
      </c>
      <c r="H68">
        <v>396</v>
      </c>
      <c r="I68">
        <v>37492</v>
      </c>
      <c r="J68">
        <v>27285</v>
      </c>
      <c r="K68">
        <v>179</v>
      </c>
      <c r="L68" s="1" t="s">
        <v>18</v>
      </c>
      <c r="M68" s="1" t="s">
        <v>57</v>
      </c>
      <c r="N68" s="1" t="s">
        <v>19</v>
      </c>
      <c r="O68">
        <v>995</v>
      </c>
      <c r="P68">
        <v>86</v>
      </c>
      <c r="Q68">
        <v>22788</v>
      </c>
      <c r="R68" s="33">
        <f>(Posts[[#This Row],[Likes]]+Posts[[#This Row],[Comments]]+Posts[[#This Row],[Shares]])/Posts[[#This Row],[Impressions]]*100</f>
        <v>11.27440520644404</v>
      </c>
      <c r="S68">
        <v>75</v>
      </c>
      <c r="T68">
        <f>Posts[[#This Row],[New_Followers]]-Posts[[#This Row],[Unfollows]]</f>
        <v>909</v>
      </c>
      <c r="U68" s="32">
        <f>Posts[[#This Row],[Engagement Rate]]/Posts[[#This Row],[Ad_Spend]]</f>
        <v>4.9475185213463399E-4</v>
      </c>
    </row>
    <row r="69" spans="1:21" x14ac:dyDescent="0.25">
      <c r="A69" s="1" t="s">
        <v>128</v>
      </c>
      <c r="B69" s="1" t="s">
        <v>17</v>
      </c>
      <c r="C69" s="2">
        <v>45419</v>
      </c>
      <c r="D69" s="1" t="s">
        <v>51</v>
      </c>
      <c r="E69" t="s">
        <v>49</v>
      </c>
      <c r="F69">
        <v>2776</v>
      </c>
      <c r="G69">
        <v>307</v>
      </c>
      <c r="H69">
        <v>178</v>
      </c>
      <c r="I69">
        <v>43365</v>
      </c>
      <c r="J69">
        <v>48408</v>
      </c>
      <c r="K69">
        <v>138</v>
      </c>
      <c r="L69" s="1" t="s">
        <v>22</v>
      </c>
      <c r="M69" s="1" t="s">
        <v>18</v>
      </c>
      <c r="N69" s="1" t="s">
        <v>19</v>
      </c>
      <c r="O69">
        <v>995</v>
      </c>
      <c r="P69">
        <v>86</v>
      </c>
      <c r="Q69">
        <v>22788</v>
      </c>
      <c r="R69" s="33">
        <f>(Posts[[#This Row],[Likes]]+Posts[[#This Row],[Comments]]+Posts[[#This Row],[Shares]])/Posts[[#This Row],[Impressions]]*100</f>
        <v>7.5198893116568657</v>
      </c>
      <c r="S69">
        <v>187</v>
      </c>
      <c r="T69">
        <f>Posts[[#This Row],[New_Followers]]-Posts[[#This Row],[Unfollows]]</f>
        <v>909</v>
      </c>
      <c r="U69" s="32">
        <f>Posts[[#This Row],[Engagement Rate]]/Posts[[#This Row],[Ad_Spend]]</f>
        <v>3.2999338738181786E-4</v>
      </c>
    </row>
    <row r="70" spans="1:21" x14ac:dyDescent="0.25">
      <c r="A70" s="1" t="s">
        <v>129</v>
      </c>
      <c r="B70" s="1" t="s">
        <v>17</v>
      </c>
      <c r="C70" s="2">
        <v>45420</v>
      </c>
      <c r="D70" s="1" t="s">
        <v>54</v>
      </c>
      <c r="E70" t="s">
        <v>49</v>
      </c>
      <c r="F70">
        <v>1828</v>
      </c>
      <c r="G70">
        <v>450</v>
      </c>
      <c r="H70">
        <v>214</v>
      </c>
      <c r="I70">
        <v>52115</v>
      </c>
      <c r="J70">
        <v>19166</v>
      </c>
      <c r="K70">
        <v>190</v>
      </c>
      <c r="L70" s="1" t="s">
        <v>18</v>
      </c>
      <c r="M70" s="1" t="s">
        <v>57</v>
      </c>
      <c r="N70" s="1" t="s">
        <v>19</v>
      </c>
      <c r="O70">
        <v>995</v>
      </c>
      <c r="P70">
        <v>86</v>
      </c>
      <c r="Q70">
        <v>22788</v>
      </c>
      <c r="R70" s="33">
        <f>(Posts[[#This Row],[Likes]]+Posts[[#This Row],[Comments]]+Posts[[#This Row],[Shares]])/Posts[[#This Row],[Impressions]]*100</f>
        <v>4.7817327065144388</v>
      </c>
      <c r="S70">
        <v>259</v>
      </c>
      <c r="T70">
        <f>Posts[[#This Row],[New_Followers]]-Posts[[#This Row],[Unfollows]]</f>
        <v>909</v>
      </c>
      <c r="U70" s="32">
        <f>Posts[[#This Row],[Engagement Rate]]/Posts[[#This Row],[Ad_Spend]]</f>
        <v>2.0983555847439174E-4</v>
      </c>
    </row>
    <row r="71" spans="1:21" x14ac:dyDescent="0.25">
      <c r="A71" s="1" t="s">
        <v>130</v>
      </c>
      <c r="B71" s="1" t="s">
        <v>11</v>
      </c>
      <c r="C71" s="2">
        <v>45420</v>
      </c>
      <c r="D71" s="1" t="s">
        <v>51</v>
      </c>
      <c r="E71" t="s">
        <v>435</v>
      </c>
      <c r="F71">
        <v>2414</v>
      </c>
      <c r="G71">
        <v>220</v>
      </c>
      <c r="H71">
        <v>280</v>
      </c>
      <c r="I71">
        <v>27355</v>
      </c>
      <c r="J71">
        <v>50562</v>
      </c>
      <c r="K71">
        <v>258</v>
      </c>
      <c r="L71" s="1" t="s">
        <v>18</v>
      </c>
      <c r="M71" s="1" t="s">
        <v>57</v>
      </c>
      <c r="N71" s="1" t="s">
        <v>15</v>
      </c>
      <c r="O71">
        <v>1402</v>
      </c>
      <c r="P71">
        <v>68</v>
      </c>
      <c r="Q71">
        <v>23125</v>
      </c>
      <c r="R71" s="33">
        <f>(Posts[[#This Row],[Likes]]+Posts[[#This Row],[Comments]]+Posts[[#This Row],[Shares]])/Posts[[#This Row],[Impressions]]*100</f>
        <v>10.652531529884847</v>
      </c>
      <c r="S71">
        <v>94</v>
      </c>
      <c r="T71">
        <f>Posts[[#This Row],[New_Followers]]-Posts[[#This Row],[Unfollows]]</f>
        <v>1334</v>
      </c>
      <c r="U71" s="32">
        <f>Posts[[#This Row],[Engagement Rate]]/Posts[[#This Row],[Ad_Spend]]</f>
        <v>4.6065001210312851E-4</v>
      </c>
    </row>
    <row r="72" spans="1:21" x14ac:dyDescent="0.25">
      <c r="A72" s="1" t="s">
        <v>131</v>
      </c>
      <c r="B72" s="1" t="s">
        <v>17</v>
      </c>
      <c r="C72" s="2">
        <v>45421</v>
      </c>
      <c r="D72" s="1" t="s">
        <v>51</v>
      </c>
      <c r="E72" t="s">
        <v>438</v>
      </c>
      <c r="F72">
        <v>1428</v>
      </c>
      <c r="G72">
        <v>347</v>
      </c>
      <c r="H72">
        <v>67</v>
      </c>
      <c r="I72">
        <v>21148</v>
      </c>
      <c r="J72">
        <v>19712</v>
      </c>
      <c r="K72">
        <v>120</v>
      </c>
      <c r="L72" s="1" t="s">
        <v>26</v>
      </c>
      <c r="M72" s="1" t="s">
        <v>14</v>
      </c>
      <c r="N72" s="1" t="s">
        <v>19</v>
      </c>
      <c r="O72">
        <v>995</v>
      </c>
      <c r="P72">
        <v>86</v>
      </c>
      <c r="Q72">
        <v>22788</v>
      </c>
      <c r="R72" s="33">
        <f>(Posts[[#This Row],[Likes]]+Posts[[#This Row],[Comments]]+Posts[[#This Row],[Shares]])/Posts[[#This Row],[Impressions]]*100</f>
        <v>8.7100435029317183</v>
      </c>
      <c r="S72">
        <v>144</v>
      </c>
      <c r="T72">
        <f>Posts[[#This Row],[New_Followers]]-Posts[[#This Row],[Unfollows]]</f>
        <v>909</v>
      </c>
      <c r="U72" s="32">
        <f>Posts[[#This Row],[Engagement Rate]]/Posts[[#This Row],[Ad_Spend]]</f>
        <v>3.8222062063067046E-4</v>
      </c>
    </row>
    <row r="73" spans="1:21" x14ac:dyDescent="0.25">
      <c r="A73" s="1" t="s">
        <v>132</v>
      </c>
      <c r="B73" s="1" t="s">
        <v>17</v>
      </c>
      <c r="C73" s="2">
        <v>45421</v>
      </c>
      <c r="D73" s="1" t="s">
        <v>51</v>
      </c>
      <c r="E73" t="s">
        <v>437</v>
      </c>
      <c r="F73">
        <v>3277</v>
      </c>
      <c r="G73">
        <v>423</v>
      </c>
      <c r="H73">
        <v>259</v>
      </c>
      <c r="I73">
        <v>46328</v>
      </c>
      <c r="J73">
        <v>44293</v>
      </c>
      <c r="K73">
        <v>299</v>
      </c>
      <c r="L73" s="1" t="s">
        <v>22</v>
      </c>
      <c r="M73" s="1" t="s">
        <v>18</v>
      </c>
      <c r="N73" s="1" t="s">
        <v>19</v>
      </c>
      <c r="O73">
        <v>995</v>
      </c>
      <c r="P73">
        <v>86</v>
      </c>
      <c r="Q73">
        <v>22788</v>
      </c>
      <c r="R73" s="33">
        <f>(Posts[[#This Row],[Likes]]+Posts[[#This Row],[Comments]]+Posts[[#This Row],[Shares]])/Posts[[#This Row],[Impressions]]*100</f>
        <v>8.545587981350371</v>
      </c>
      <c r="S73">
        <v>154</v>
      </c>
      <c r="T73">
        <f>Posts[[#This Row],[New_Followers]]-Posts[[#This Row],[Unfollows]]</f>
        <v>909</v>
      </c>
      <c r="U73" s="32">
        <f>Posts[[#This Row],[Engagement Rate]]/Posts[[#This Row],[Ad_Spend]]</f>
        <v>3.7500386086318987E-4</v>
      </c>
    </row>
    <row r="74" spans="1:21" x14ac:dyDescent="0.25">
      <c r="A74" s="1" t="s">
        <v>133</v>
      </c>
      <c r="B74" s="1" t="s">
        <v>17</v>
      </c>
      <c r="C74" s="2">
        <v>45422</v>
      </c>
      <c r="D74" s="1" t="s">
        <v>51</v>
      </c>
      <c r="E74" t="s">
        <v>49</v>
      </c>
      <c r="F74">
        <v>2784</v>
      </c>
      <c r="G74">
        <v>111</v>
      </c>
      <c r="H74">
        <v>399</v>
      </c>
      <c r="I74">
        <v>58366</v>
      </c>
      <c r="J74">
        <v>69512</v>
      </c>
      <c r="K74">
        <v>269</v>
      </c>
      <c r="L74" s="1" t="s">
        <v>14</v>
      </c>
      <c r="M74" s="1" t="s">
        <v>18</v>
      </c>
      <c r="N74" s="1" t="s">
        <v>19</v>
      </c>
      <c r="O74">
        <v>995</v>
      </c>
      <c r="P74">
        <v>86</v>
      </c>
      <c r="Q74">
        <v>22788</v>
      </c>
      <c r="R74" s="33">
        <f>(Posts[[#This Row],[Likes]]+Posts[[#This Row],[Comments]]+Posts[[#This Row],[Shares]])/Posts[[#This Row],[Impressions]]*100</f>
        <v>5.6436966727204192</v>
      </c>
      <c r="S74">
        <v>234</v>
      </c>
      <c r="T74">
        <f>Posts[[#This Row],[New_Followers]]-Posts[[#This Row],[Unfollows]]</f>
        <v>909</v>
      </c>
      <c r="U74" s="32">
        <f>Posts[[#This Row],[Engagement Rate]]/Posts[[#This Row],[Ad_Spend]]</f>
        <v>2.4766090366510528E-4</v>
      </c>
    </row>
    <row r="75" spans="1:21" x14ac:dyDescent="0.25">
      <c r="A75" s="1" t="s">
        <v>134</v>
      </c>
      <c r="B75" s="1" t="s">
        <v>12</v>
      </c>
      <c r="C75" s="2">
        <v>45424</v>
      </c>
      <c r="D75" s="1" t="s">
        <v>54</v>
      </c>
      <c r="E75" t="s">
        <v>439</v>
      </c>
      <c r="F75">
        <v>2911</v>
      </c>
      <c r="G75">
        <v>467</v>
      </c>
      <c r="H75">
        <v>94</v>
      </c>
      <c r="I75">
        <v>59083</v>
      </c>
      <c r="J75">
        <v>49762</v>
      </c>
      <c r="K75">
        <v>236</v>
      </c>
      <c r="L75" s="1" t="s">
        <v>26</v>
      </c>
      <c r="M75" s="1" t="s">
        <v>13</v>
      </c>
      <c r="N75" s="1" t="s">
        <v>23</v>
      </c>
      <c r="O75">
        <v>1472</v>
      </c>
      <c r="P75">
        <v>296</v>
      </c>
      <c r="Q75">
        <v>7810</v>
      </c>
      <c r="R75" s="33">
        <f>(Posts[[#This Row],[Likes]]+Posts[[#This Row],[Comments]]+Posts[[#This Row],[Shares]])/Posts[[#This Row],[Impressions]]*100</f>
        <v>5.8764788517847775</v>
      </c>
      <c r="S75">
        <v>227</v>
      </c>
      <c r="T75">
        <f>Posts[[#This Row],[New_Followers]]-Posts[[#This Row],[Unfollows]]</f>
        <v>1176</v>
      </c>
      <c r="U75" s="32">
        <f>Posts[[#This Row],[Engagement Rate]]/Posts[[#This Row],[Ad_Spend]]</f>
        <v>7.5243007065105988E-4</v>
      </c>
    </row>
    <row r="76" spans="1:21" x14ac:dyDescent="0.25">
      <c r="A76" s="1" t="s">
        <v>135</v>
      </c>
      <c r="B76" s="1" t="s">
        <v>12</v>
      </c>
      <c r="C76" s="2">
        <v>45425</v>
      </c>
      <c r="D76" s="1" t="s">
        <v>48</v>
      </c>
      <c r="E76" t="s">
        <v>49</v>
      </c>
      <c r="F76">
        <v>4161</v>
      </c>
      <c r="G76">
        <v>481</v>
      </c>
      <c r="H76">
        <v>61</v>
      </c>
      <c r="I76">
        <v>45884</v>
      </c>
      <c r="J76">
        <v>48955</v>
      </c>
      <c r="K76">
        <v>215</v>
      </c>
      <c r="L76" s="1" t="s">
        <v>26</v>
      </c>
      <c r="M76" s="1" t="s">
        <v>22</v>
      </c>
      <c r="N76" s="1" t="s">
        <v>9</v>
      </c>
      <c r="O76">
        <v>1472</v>
      </c>
      <c r="P76">
        <v>296</v>
      </c>
      <c r="Q76">
        <v>7810</v>
      </c>
      <c r="R76" s="33">
        <f>(Posts[[#This Row],[Likes]]+Posts[[#This Row],[Comments]]+Posts[[#This Row],[Shares]])/Posts[[#This Row],[Impressions]]*100</f>
        <v>10.249760265016128</v>
      </c>
      <c r="S76">
        <v>104</v>
      </c>
      <c r="T76">
        <f>Posts[[#This Row],[New_Followers]]-Posts[[#This Row],[Unfollows]]</f>
        <v>1176</v>
      </c>
      <c r="U76" s="32">
        <f>Posts[[#This Row],[Engagement Rate]]/Posts[[#This Row],[Ad_Spend]]</f>
        <v>1.3123892784911817E-3</v>
      </c>
    </row>
    <row r="77" spans="1:21" x14ac:dyDescent="0.25">
      <c r="A77" s="1" t="s">
        <v>136</v>
      </c>
      <c r="B77" s="1" t="s">
        <v>11</v>
      </c>
      <c r="C77" s="2">
        <v>45426</v>
      </c>
      <c r="D77" s="1" t="s">
        <v>54</v>
      </c>
      <c r="E77" t="s">
        <v>69</v>
      </c>
      <c r="F77">
        <v>1485</v>
      </c>
      <c r="G77">
        <v>353</v>
      </c>
      <c r="H77">
        <v>244</v>
      </c>
      <c r="I77">
        <v>38419</v>
      </c>
      <c r="J77">
        <v>38556</v>
      </c>
      <c r="K77">
        <v>86</v>
      </c>
      <c r="L77" s="1" t="s">
        <v>22</v>
      </c>
      <c r="M77" s="1" t="s">
        <v>18</v>
      </c>
      <c r="N77" s="1" t="s">
        <v>19</v>
      </c>
      <c r="O77">
        <v>1402</v>
      </c>
      <c r="P77">
        <v>68</v>
      </c>
      <c r="Q77">
        <v>23125</v>
      </c>
      <c r="R77" s="33">
        <f>(Posts[[#This Row],[Likes]]+Posts[[#This Row],[Comments]]+Posts[[#This Row],[Shares]])/Posts[[#This Row],[Impressions]]*100</f>
        <v>5.4191936281527369</v>
      </c>
      <c r="S77">
        <v>241</v>
      </c>
      <c r="T77">
        <f>Posts[[#This Row],[New_Followers]]-Posts[[#This Row],[Unfollows]]</f>
        <v>1334</v>
      </c>
      <c r="U77" s="32">
        <f>Posts[[#This Row],[Engagement Rate]]/Posts[[#This Row],[Ad_Spend]]</f>
        <v>2.3434350824444268E-4</v>
      </c>
    </row>
    <row r="78" spans="1:21" x14ac:dyDescent="0.25">
      <c r="A78" s="1" t="s">
        <v>137</v>
      </c>
      <c r="B78" s="1" t="s">
        <v>17</v>
      </c>
      <c r="C78" s="2">
        <v>45428</v>
      </c>
      <c r="D78" s="1" t="s">
        <v>51</v>
      </c>
      <c r="E78" t="s">
        <v>435</v>
      </c>
      <c r="F78">
        <v>2023</v>
      </c>
      <c r="G78">
        <v>124</v>
      </c>
      <c r="H78">
        <v>99</v>
      </c>
      <c r="I78">
        <v>54524</v>
      </c>
      <c r="J78">
        <v>34790</v>
      </c>
      <c r="K78">
        <v>195</v>
      </c>
      <c r="L78" s="1" t="s">
        <v>26</v>
      </c>
      <c r="M78" s="1" t="s">
        <v>14</v>
      </c>
      <c r="N78" s="1" t="s">
        <v>19</v>
      </c>
      <c r="O78">
        <v>995</v>
      </c>
      <c r="P78">
        <v>86</v>
      </c>
      <c r="Q78">
        <v>22788</v>
      </c>
      <c r="R78" s="33">
        <f>(Posts[[#This Row],[Likes]]+Posts[[#This Row],[Comments]]+Posts[[#This Row],[Shares]])/Posts[[#This Row],[Impressions]]*100</f>
        <v>4.119286919521679</v>
      </c>
      <c r="S78">
        <v>273</v>
      </c>
      <c r="T78">
        <f>Posts[[#This Row],[New_Followers]]-Posts[[#This Row],[Unfollows]]</f>
        <v>909</v>
      </c>
      <c r="U78" s="32">
        <f>Posts[[#This Row],[Engagement Rate]]/Posts[[#This Row],[Ad_Spend]]</f>
        <v>1.8076561872571877E-4</v>
      </c>
    </row>
    <row r="79" spans="1:21" x14ac:dyDescent="0.25">
      <c r="A79" s="1" t="s">
        <v>138</v>
      </c>
      <c r="B79" s="1" t="s">
        <v>17</v>
      </c>
      <c r="C79" s="2">
        <v>45431</v>
      </c>
      <c r="D79" s="1" t="s">
        <v>51</v>
      </c>
      <c r="E79" t="s">
        <v>89</v>
      </c>
      <c r="F79">
        <v>1763</v>
      </c>
      <c r="G79">
        <v>206</v>
      </c>
      <c r="H79">
        <v>187</v>
      </c>
      <c r="I79">
        <v>53342</v>
      </c>
      <c r="J79">
        <v>25095</v>
      </c>
      <c r="K79">
        <v>88</v>
      </c>
      <c r="L79" s="1" t="s">
        <v>26</v>
      </c>
      <c r="M79" s="1" t="s">
        <v>14</v>
      </c>
      <c r="N79" s="1" t="s">
        <v>19</v>
      </c>
      <c r="O79">
        <v>995</v>
      </c>
      <c r="P79">
        <v>86</v>
      </c>
      <c r="Q79">
        <v>22788</v>
      </c>
      <c r="R79" s="33">
        <f>(Posts[[#This Row],[Likes]]+Posts[[#This Row],[Comments]]+Posts[[#This Row],[Shares]])/Posts[[#This Row],[Impressions]]*100</f>
        <v>4.0418432004799225</v>
      </c>
      <c r="S79">
        <v>274</v>
      </c>
      <c r="T79">
        <f>Posts[[#This Row],[New_Followers]]-Posts[[#This Row],[Unfollows]]</f>
        <v>909</v>
      </c>
      <c r="U79" s="32">
        <f>Posts[[#This Row],[Engagement Rate]]/Posts[[#This Row],[Ad_Spend]]</f>
        <v>1.7736717572757252E-4</v>
      </c>
    </row>
    <row r="80" spans="1:21" x14ac:dyDescent="0.25">
      <c r="A80" s="1" t="s">
        <v>139</v>
      </c>
      <c r="B80" s="1" t="s">
        <v>12</v>
      </c>
      <c r="C80" s="2">
        <v>45438</v>
      </c>
      <c r="D80" s="1" t="s">
        <v>54</v>
      </c>
      <c r="E80" t="s">
        <v>439</v>
      </c>
      <c r="F80">
        <v>1488</v>
      </c>
      <c r="G80">
        <v>327</v>
      </c>
      <c r="H80">
        <v>110</v>
      </c>
      <c r="I80">
        <v>53805</v>
      </c>
      <c r="J80">
        <v>30239</v>
      </c>
      <c r="K80">
        <v>109</v>
      </c>
      <c r="L80" s="1" t="s">
        <v>26</v>
      </c>
      <c r="M80" s="1" t="s">
        <v>13</v>
      </c>
      <c r="N80" s="1" t="s">
        <v>23</v>
      </c>
      <c r="O80">
        <v>1472</v>
      </c>
      <c r="P80">
        <v>296</v>
      </c>
      <c r="Q80">
        <v>7810</v>
      </c>
      <c r="R80" s="33">
        <f>(Posts[[#This Row],[Likes]]+Posts[[#This Row],[Comments]]+Posts[[#This Row],[Shares]])/Posts[[#This Row],[Impressions]]*100</f>
        <v>3.5777344113000655</v>
      </c>
      <c r="S80">
        <v>285</v>
      </c>
      <c r="T80">
        <f>Posts[[#This Row],[New_Followers]]-Posts[[#This Row],[Unfollows]]</f>
        <v>1176</v>
      </c>
      <c r="U80" s="32">
        <f>Posts[[#This Row],[Engagement Rate]]/Posts[[#This Row],[Ad_Spend]]</f>
        <v>4.5809659555698661E-4</v>
      </c>
    </row>
    <row r="81" spans="1:21" x14ac:dyDescent="0.25">
      <c r="A81" s="1" t="s">
        <v>140</v>
      </c>
      <c r="B81" s="1" t="s">
        <v>11</v>
      </c>
      <c r="C81" s="2">
        <v>45442</v>
      </c>
      <c r="D81" s="1" t="s">
        <v>51</v>
      </c>
      <c r="E81" t="s">
        <v>436</v>
      </c>
      <c r="F81">
        <v>2448</v>
      </c>
      <c r="G81">
        <v>464</v>
      </c>
      <c r="H81">
        <v>98</v>
      </c>
      <c r="I81">
        <v>25737</v>
      </c>
      <c r="J81">
        <v>48545</v>
      </c>
      <c r="K81">
        <v>246</v>
      </c>
      <c r="L81" s="1" t="s">
        <v>18</v>
      </c>
      <c r="M81" s="1" t="s">
        <v>57</v>
      </c>
      <c r="N81" s="1" t="s">
        <v>15</v>
      </c>
      <c r="O81">
        <v>1402</v>
      </c>
      <c r="P81">
        <v>68</v>
      </c>
      <c r="Q81">
        <v>23125</v>
      </c>
      <c r="R81" s="33">
        <f>(Posts[[#This Row],[Likes]]+Posts[[#This Row],[Comments]]+Posts[[#This Row],[Shares]])/Posts[[#This Row],[Impressions]]*100</f>
        <v>11.695224773672146</v>
      </c>
      <c r="S81">
        <v>68</v>
      </c>
      <c r="T81">
        <f>Posts[[#This Row],[New_Followers]]-Posts[[#This Row],[Unfollows]]</f>
        <v>1334</v>
      </c>
      <c r="U81" s="32">
        <f>Posts[[#This Row],[Engagement Rate]]/Posts[[#This Row],[Ad_Spend]]</f>
        <v>5.05739449672309E-4</v>
      </c>
    </row>
    <row r="82" spans="1:21" x14ac:dyDescent="0.25">
      <c r="A82" s="1" t="s">
        <v>141</v>
      </c>
      <c r="B82" s="1" t="s">
        <v>17</v>
      </c>
      <c r="C82" s="2">
        <v>45442</v>
      </c>
      <c r="D82" s="1" t="s">
        <v>51</v>
      </c>
      <c r="E82" t="s">
        <v>89</v>
      </c>
      <c r="F82">
        <v>2311</v>
      </c>
      <c r="G82">
        <v>207</v>
      </c>
      <c r="H82">
        <v>363</v>
      </c>
      <c r="I82">
        <v>30349</v>
      </c>
      <c r="J82">
        <v>32925</v>
      </c>
      <c r="K82">
        <v>88</v>
      </c>
      <c r="L82" s="1" t="s">
        <v>14</v>
      </c>
      <c r="M82" s="1" t="s">
        <v>18</v>
      </c>
      <c r="N82" s="1" t="s">
        <v>19</v>
      </c>
      <c r="O82">
        <v>995</v>
      </c>
      <c r="P82">
        <v>86</v>
      </c>
      <c r="Q82">
        <v>22788</v>
      </c>
      <c r="R82" s="33">
        <f>(Posts[[#This Row],[Likes]]+Posts[[#This Row],[Comments]]+Posts[[#This Row],[Shares]])/Posts[[#This Row],[Impressions]]*100</f>
        <v>9.4928992718046725</v>
      </c>
      <c r="S82">
        <v>120</v>
      </c>
      <c r="T82">
        <f>Posts[[#This Row],[New_Followers]]-Posts[[#This Row],[Unfollows]]</f>
        <v>909</v>
      </c>
      <c r="U82" s="32">
        <f>Posts[[#This Row],[Engagement Rate]]/Posts[[#This Row],[Ad_Spend]]</f>
        <v>4.1657448094631702E-4</v>
      </c>
    </row>
    <row r="83" spans="1:21" x14ac:dyDescent="0.25">
      <c r="A83" s="1" t="s">
        <v>142</v>
      </c>
      <c r="B83" s="1" t="s">
        <v>12</v>
      </c>
      <c r="C83" s="2">
        <v>45442</v>
      </c>
      <c r="D83" s="1" t="s">
        <v>48</v>
      </c>
      <c r="E83" t="s">
        <v>74</v>
      </c>
      <c r="F83">
        <v>1060</v>
      </c>
      <c r="G83">
        <v>442</v>
      </c>
      <c r="H83">
        <v>319</v>
      </c>
      <c r="I83">
        <v>57194</v>
      </c>
      <c r="J83">
        <v>24258</v>
      </c>
      <c r="K83">
        <v>101</v>
      </c>
      <c r="L83" s="1" t="s">
        <v>26</v>
      </c>
      <c r="M83" s="1" t="s">
        <v>22</v>
      </c>
      <c r="N83" s="1" t="s">
        <v>9</v>
      </c>
      <c r="O83">
        <v>1472</v>
      </c>
      <c r="P83">
        <v>296</v>
      </c>
      <c r="Q83">
        <v>7810</v>
      </c>
      <c r="R83" s="33">
        <f>(Posts[[#This Row],[Likes]]+Posts[[#This Row],[Comments]]+Posts[[#This Row],[Shares]])/Posts[[#This Row],[Impressions]]*100</f>
        <v>3.1839004091338254</v>
      </c>
      <c r="S83">
        <v>295</v>
      </c>
      <c r="T83">
        <f>Posts[[#This Row],[New_Followers]]-Posts[[#This Row],[Unfollows]]</f>
        <v>1176</v>
      </c>
      <c r="U83" s="32">
        <f>Posts[[#This Row],[Engagement Rate]]/Posts[[#This Row],[Ad_Spend]]</f>
        <v>4.0766970667526577E-4</v>
      </c>
    </row>
    <row r="84" spans="1:21" x14ac:dyDescent="0.25">
      <c r="A84" s="1" t="s">
        <v>143</v>
      </c>
      <c r="B84" s="1" t="s">
        <v>11</v>
      </c>
      <c r="C84" s="2">
        <v>45447</v>
      </c>
      <c r="D84" s="1" t="s">
        <v>54</v>
      </c>
      <c r="E84" t="s">
        <v>437</v>
      </c>
      <c r="F84">
        <v>3948</v>
      </c>
      <c r="G84">
        <v>151</v>
      </c>
      <c r="H84">
        <v>249</v>
      </c>
      <c r="I84">
        <v>43147</v>
      </c>
      <c r="J84">
        <v>63136</v>
      </c>
      <c r="K84">
        <v>230</v>
      </c>
      <c r="L84" s="1" t="s">
        <v>26</v>
      </c>
      <c r="M84" s="1" t="s">
        <v>57</v>
      </c>
      <c r="N84" s="1" t="s">
        <v>23</v>
      </c>
      <c r="O84">
        <v>1402</v>
      </c>
      <c r="P84">
        <v>68</v>
      </c>
      <c r="Q84">
        <v>23125</v>
      </c>
      <c r="R84" s="33">
        <f>(Posts[[#This Row],[Likes]]+Posts[[#This Row],[Comments]]+Posts[[#This Row],[Shares]])/Posts[[#This Row],[Impressions]]*100</f>
        <v>10.077178019329269</v>
      </c>
      <c r="S84">
        <v>108</v>
      </c>
      <c r="T84">
        <f>Posts[[#This Row],[New_Followers]]-Posts[[#This Row],[Unfollows]]</f>
        <v>1334</v>
      </c>
      <c r="U84" s="32">
        <f>Posts[[#This Row],[Engagement Rate]]/Posts[[#This Row],[Ad_Spend]]</f>
        <v>4.3576986029531976E-4</v>
      </c>
    </row>
    <row r="85" spans="1:21" x14ac:dyDescent="0.25">
      <c r="A85" s="1" t="s">
        <v>144</v>
      </c>
      <c r="B85" s="1" t="s">
        <v>12</v>
      </c>
      <c r="C85" s="2">
        <v>45447</v>
      </c>
      <c r="D85" s="1" t="s">
        <v>48</v>
      </c>
      <c r="E85" t="s">
        <v>89</v>
      </c>
      <c r="F85">
        <v>1211</v>
      </c>
      <c r="G85">
        <v>431</v>
      </c>
      <c r="H85">
        <v>83</v>
      </c>
      <c r="I85">
        <v>26532</v>
      </c>
      <c r="J85">
        <v>47305</v>
      </c>
      <c r="K85">
        <v>232</v>
      </c>
      <c r="L85" s="1" t="s">
        <v>26</v>
      </c>
      <c r="M85" s="1" t="s">
        <v>22</v>
      </c>
      <c r="N85" s="1" t="s">
        <v>9</v>
      </c>
      <c r="O85">
        <v>1472</v>
      </c>
      <c r="P85">
        <v>296</v>
      </c>
      <c r="Q85">
        <v>7810</v>
      </c>
      <c r="R85" s="33">
        <f>(Posts[[#This Row],[Likes]]+Posts[[#This Row],[Comments]]+Posts[[#This Row],[Shares]])/Posts[[#This Row],[Impressions]]*100</f>
        <v>6.5015829941203069</v>
      </c>
      <c r="S85">
        <v>211</v>
      </c>
      <c r="T85">
        <f>Posts[[#This Row],[New_Followers]]-Posts[[#This Row],[Unfollows]]</f>
        <v>1176</v>
      </c>
      <c r="U85" s="32">
        <f>Posts[[#This Row],[Engagement Rate]]/Posts[[#This Row],[Ad_Spend]]</f>
        <v>8.3246901333166538E-4</v>
      </c>
    </row>
    <row r="86" spans="1:21" x14ac:dyDescent="0.25">
      <c r="A86" s="1" t="s">
        <v>145</v>
      </c>
      <c r="B86" s="1" t="s">
        <v>17</v>
      </c>
      <c r="C86" s="2">
        <v>45451</v>
      </c>
      <c r="D86" s="1" t="s">
        <v>51</v>
      </c>
      <c r="E86" t="s">
        <v>55</v>
      </c>
      <c r="F86">
        <v>3413</v>
      </c>
      <c r="G86">
        <v>326</v>
      </c>
      <c r="H86">
        <v>86</v>
      </c>
      <c r="I86">
        <v>44680</v>
      </c>
      <c r="J86">
        <v>52719</v>
      </c>
      <c r="K86">
        <v>272</v>
      </c>
      <c r="L86" s="1" t="s">
        <v>26</v>
      </c>
      <c r="M86" s="1" t="s">
        <v>14</v>
      </c>
      <c r="N86" s="1" t="s">
        <v>19</v>
      </c>
      <c r="O86">
        <v>995</v>
      </c>
      <c r="P86">
        <v>86</v>
      </c>
      <c r="Q86">
        <v>22788</v>
      </c>
      <c r="R86" s="33">
        <f>(Posts[[#This Row],[Likes]]+Posts[[#This Row],[Comments]]+Posts[[#This Row],[Shares]])/Posts[[#This Row],[Impressions]]*100</f>
        <v>8.5608773500447626</v>
      </c>
      <c r="S86">
        <v>153</v>
      </c>
      <c r="T86">
        <f>Posts[[#This Row],[New_Followers]]-Posts[[#This Row],[Unfollows]]</f>
        <v>909</v>
      </c>
      <c r="U86" s="32">
        <f>Posts[[#This Row],[Engagement Rate]]/Posts[[#This Row],[Ad_Spend]]</f>
        <v>3.7567480033547318E-4</v>
      </c>
    </row>
    <row r="87" spans="1:21" x14ac:dyDescent="0.25">
      <c r="A87" s="1" t="s">
        <v>146</v>
      </c>
      <c r="B87" s="1" t="s">
        <v>12</v>
      </c>
      <c r="C87" s="2">
        <v>45452</v>
      </c>
      <c r="D87" s="1" t="s">
        <v>48</v>
      </c>
      <c r="E87" t="s">
        <v>439</v>
      </c>
      <c r="F87">
        <v>2786</v>
      </c>
      <c r="G87">
        <v>368</v>
      </c>
      <c r="H87">
        <v>208</v>
      </c>
      <c r="I87">
        <v>42000</v>
      </c>
      <c r="J87">
        <v>39967</v>
      </c>
      <c r="K87">
        <v>103</v>
      </c>
      <c r="L87" s="1" t="s">
        <v>26</v>
      </c>
      <c r="M87" s="1" t="s">
        <v>22</v>
      </c>
      <c r="N87" s="1" t="s">
        <v>9</v>
      </c>
      <c r="O87">
        <v>1472</v>
      </c>
      <c r="P87">
        <v>296</v>
      </c>
      <c r="Q87">
        <v>7810</v>
      </c>
      <c r="R87" s="33">
        <f>(Posts[[#This Row],[Likes]]+Posts[[#This Row],[Comments]]+Posts[[#This Row],[Shares]])/Posts[[#This Row],[Impressions]]*100</f>
        <v>8.0047619047619047</v>
      </c>
      <c r="S87">
        <v>178</v>
      </c>
      <c r="T87">
        <f>Posts[[#This Row],[New_Followers]]-Posts[[#This Row],[Unfollows]]</f>
        <v>1176</v>
      </c>
      <c r="U87" s="32">
        <f>Posts[[#This Row],[Engagement Rate]]/Posts[[#This Row],[Ad_Spend]]</f>
        <v>1.0249375038107432E-3</v>
      </c>
    </row>
    <row r="88" spans="1:21" x14ac:dyDescent="0.25">
      <c r="A88" s="1" t="s">
        <v>147</v>
      </c>
      <c r="B88" s="1" t="s">
        <v>17</v>
      </c>
      <c r="C88" s="2">
        <v>45453</v>
      </c>
      <c r="D88" s="1" t="s">
        <v>54</v>
      </c>
      <c r="E88" t="s">
        <v>436</v>
      </c>
      <c r="F88">
        <v>1514</v>
      </c>
      <c r="G88">
        <v>164</v>
      </c>
      <c r="H88">
        <v>275</v>
      </c>
      <c r="I88">
        <v>41364</v>
      </c>
      <c r="J88">
        <v>44389</v>
      </c>
      <c r="K88">
        <v>83</v>
      </c>
      <c r="L88" s="1" t="s">
        <v>18</v>
      </c>
      <c r="M88" s="1" t="s">
        <v>57</v>
      </c>
      <c r="N88" s="1" t="s">
        <v>19</v>
      </c>
      <c r="O88">
        <v>995</v>
      </c>
      <c r="P88">
        <v>86</v>
      </c>
      <c r="Q88">
        <v>22788</v>
      </c>
      <c r="R88" s="33">
        <f>(Posts[[#This Row],[Likes]]+Posts[[#This Row],[Comments]]+Posts[[#This Row],[Shares]])/Posts[[#This Row],[Impressions]]*100</f>
        <v>4.7214969538729328</v>
      </c>
      <c r="S88">
        <v>261</v>
      </c>
      <c r="T88">
        <f>Posts[[#This Row],[New_Followers]]-Posts[[#This Row],[Unfollows]]</f>
        <v>909</v>
      </c>
      <c r="U88" s="32">
        <f>Posts[[#This Row],[Engagement Rate]]/Posts[[#This Row],[Ad_Spend]]</f>
        <v>2.0719224828299687E-4</v>
      </c>
    </row>
    <row r="89" spans="1:21" x14ac:dyDescent="0.25">
      <c r="A89" s="1" t="s">
        <v>148</v>
      </c>
      <c r="B89" s="1" t="s">
        <v>12</v>
      </c>
      <c r="C89" s="2">
        <v>45456</v>
      </c>
      <c r="D89" s="1" t="s">
        <v>54</v>
      </c>
      <c r="E89" t="s">
        <v>436</v>
      </c>
      <c r="F89">
        <v>3882</v>
      </c>
      <c r="G89">
        <v>239</v>
      </c>
      <c r="H89">
        <v>275</v>
      </c>
      <c r="I89">
        <v>58748</v>
      </c>
      <c r="J89">
        <v>44646</v>
      </c>
      <c r="K89">
        <v>149</v>
      </c>
      <c r="L89" s="1" t="s">
        <v>26</v>
      </c>
      <c r="M89" s="1" t="s">
        <v>13</v>
      </c>
      <c r="N89" s="1" t="s">
        <v>23</v>
      </c>
      <c r="O89">
        <v>1472</v>
      </c>
      <c r="P89">
        <v>296</v>
      </c>
      <c r="Q89">
        <v>7810</v>
      </c>
      <c r="R89" s="33">
        <f>(Posts[[#This Row],[Likes]]+Posts[[#This Row],[Comments]]+Posts[[#This Row],[Shares]])/Posts[[#This Row],[Impressions]]*100</f>
        <v>7.4828079253761839</v>
      </c>
      <c r="S89">
        <v>190</v>
      </c>
      <c r="T89">
        <f>Posts[[#This Row],[New_Followers]]-Posts[[#This Row],[Unfollows]]</f>
        <v>1176</v>
      </c>
      <c r="U89" s="32">
        <f>Posts[[#This Row],[Engagement Rate]]/Posts[[#This Row],[Ad_Spend]]</f>
        <v>9.581060083708302E-4</v>
      </c>
    </row>
    <row r="90" spans="1:21" x14ac:dyDescent="0.25">
      <c r="A90" s="36" t="s">
        <v>149</v>
      </c>
      <c r="B90" s="36" t="s">
        <v>12</v>
      </c>
      <c r="C90" s="40">
        <v>45457</v>
      </c>
      <c r="D90" s="36" t="s">
        <v>48</v>
      </c>
      <c r="E90" s="36" t="s">
        <v>437</v>
      </c>
      <c r="F90" s="36">
        <v>4722</v>
      </c>
      <c r="G90" s="36">
        <v>310</v>
      </c>
      <c r="H90" s="36">
        <v>344</v>
      </c>
      <c r="I90" s="36">
        <v>27911</v>
      </c>
      <c r="J90" s="36">
        <v>19000</v>
      </c>
      <c r="K90" s="36">
        <v>225</v>
      </c>
      <c r="L90" s="36" t="s">
        <v>26</v>
      </c>
      <c r="M90" s="36" t="s">
        <v>22</v>
      </c>
      <c r="N90" s="36" t="s">
        <v>9</v>
      </c>
      <c r="O90" s="36">
        <v>1472</v>
      </c>
      <c r="P90" s="36">
        <v>296</v>
      </c>
      <c r="Q90" s="36">
        <v>7810</v>
      </c>
      <c r="R90" s="33">
        <f>(Posts[[#This Row],[Likes]]+Posts[[#This Row],[Comments]]+Posts[[#This Row],[Shares]])/Posts[[#This Row],[Impressions]]*100</f>
        <v>19.261223173659133</v>
      </c>
      <c r="S90" s="36">
        <v>8</v>
      </c>
      <c r="T90" s="36">
        <f>Posts[[#This Row],[New_Followers]]-Posts[[#This Row],[Unfollows]]</f>
        <v>1176</v>
      </c>
      <c r="U90" s="36">
        <f>Posts[[#This Row],[Engagement Rate]]/Posts[[#This Row],[Ad_Spend]]</f>
        <v>2.4662257584710796E-3</v>
      </c>
    </row>
    <row r="91" spans="1:21" x14ac:dyDescent="0.25">
      <c r="A91" s="1" t="s">
        <v>150</v>
      </c>
      <c r="B91" s="1" t="s">
        <v>12</v>
      </c>
      <c r="C91" s="2">
        <v>45458</v>
      </c>
      <c r="D91" s="1" t="s">
        <v>48</v>
      </c>
      <c r="E91" t="s">
        <v>89</v>
      </c>
      <c r="F91">
        <v>1751</v>
      </c>
      <c r="G91">
        <v>143</v>
      </c>
      <c r="H91">
        <v>151</v>
      </c>
      <c r="I91">
        <v>31826</v>
      </c>
      <c r="J91">
        <v>47729</v>
      </c>
      <c r="K91">
        <v>95</v>
      </c>
      <c r="L91" s="1" t="s">
        <v>26</v>
      </c>
      <c r="M91" s="1" t="s">
        <v>22</v>
      </c>
      <c r="N91" s="1" t="s">
        <v>9</v>
      </c>
      <c r="O91">
        <v>1472</v>
      </c>
      <c r="P91">
        <v>296</v>
      </c>
      <c r="Q91">
        <v>7810</v>
      </c>
      <c r="R91" s="33">
        <f>(Posts[[#This Row],[Likes]]+Posts[[#This Row],[Comments]]+Posts[[#This Row],[Shares]])/Posts[[#This Row],[Impressions]]*100</f>
        <v>6.4255640042732365</v>
      </c>
      <c r="S91">
        <v>213</v>
      </c>
      <c r="T91">
        <f>Posts[[#This Row],[New_Followers]]-Posts[[#This Row],[Unfollows]]</f>
        <v>1176</v>
      </c>
      <c r="U91" s="32">
        <f>Posts[[#This Row],[Engagement Rate]]/Posts[[#This Row],[Ad_Spend]]</f>
        <v>8.227354678967012E-4</v>
      </c>
    </row>
    <row r="92" spans="1:21" x14ac:dyDescent="0.25">
      <c r="A92" s="36" t="s">
        <v>151</v>
      </c>
      <c r="B92" s="36" t="s">
        <v>17</v>
      </c>
      <c r="C92" s="40">
        <v>45459</v>
      </c>
      <c r="D92" s="36" t="s">
        <v>51</v>
      </c>
      <c r="E92" s="36" t="s">
        <v>49</v>
      </c>
      <c r="F92" s="36">
        <v>4618</v>
      </c>
      <c r="G92" s="36">
        <v>312</v>
      </c>
      <c r="H92" s="36">
        <v>254</v>
      </c>
      <c r="I92" s="36">
        <v>22571</v>
      </c>
      <c r="J92" s="36">
        <v>29453</v>
      </c>
      <c r="K92" s="36">
        <v>197</v>
      </c>
      <c r="L92" s="36" t="s">
        <v>14</v>
      </c>
      <c r="M92" s="36" t="s">
        <v>18</v>
      </c>
      <c r="N92" s="36" t="s">
        <v>19</v>
      </c>
      <c r="O92" s="36">
        <v>995</v>
      </c>
      <c r="P92" s="36">
        <v>86</v>
      </c>
      <c r="Q92" s="36">
        <v>22788</v>
      </c>
      <c r="R92" s="33">
        <f>(Posts[[#This Row],[Likes]]+Posts[[#This Row],[Comments]]+Posts[[#This Row],[Shares]])/Posts[[#This Row],[Impressions]]*100</f>
        <v>22.967524699836073</v>
      </c>
      <c r="S92" s="36">
        <v>3</v>
      </c>
      <c r="T92" s="36">
        <f>Posts[[#This Row],[New_Followers]]-Posts[[#This Row],[Unfollows]]</f>
        <v>909</v>
      </c>
      <c r="U92" s="36">
        <f>Posts[[#This Row],[Engagement Rate]]/Posts[[#This Row],[Ad_Spend]]</f>
        <v>1.0078780366787816E-3</v>
      </c>
    </row>
    <row r="93" spans="1:21" x14ac:dyDescent="0.25">
      <c r="A93" s="1" t="s">
        <v>152</v>
      </c>
      <c r="B93" s="1" t="s">
        <v>11</v>
      </c>
      <c r="C93" s="2">
        <v>45460</v>
      </c>
      <c r="D93" s="1" t="s">
        <v>54</v>
      </c>
      <c r="E93" t="s">
        <v>69</v>
      </c>
      <c r="F93">
        <v>4283</v>
      </c>
      <c r="G93">
        <v>471</v>
      </c>
      <c r="H93">
        <v>156</v>
      </c>
      <c r="I93">
        <v>53004</v>
      </c>
      <c r="J93">
        <v>25678</v>
      </c>
      <c r="K93">
        <v>105</v>
      </c>
      <c r="L93" s="1" t="s">
        <v>26</v>
      </c>
      <c r="M93" s="1" t="s">
        <v>57</v>
      </c>
      <c r="N93" s="1" t="s">
        <v>23</v>
      </c>
      <c r="O93">
        <v>1402</v>
      </c>
      <c r="P93">
        <v>68</v>
      </c>
      <c r="Q93">
        <v>23125</v>
      </c>
      <c r="R93" s="33">
        <f>(Posts[[#This Row],[Likes]]+Posts[[#This Row],[Comments]]+Posts[[#This Row],[Shares]])/Posts[[#This Row],[Impressions]]*100</f>
        <v>9.2634518149573619</v>
      </c>
      <c r="S93">
        <v>131</v>
      </c>
      <c r="T93">
        <f>Posts[[#This Row],[New_Followers]]-Posts[[#This Row],[Unfollows]]</f>
        <v>1334</v>
      </c>
      <c r="U93" s="32">
        <f>Posts[[#This Row],[Engagement Rate]]/Posts[[#This Row],[Ad_Spend]]</f>
        <v>4.0058170010626431E-4</v>
      </c>
    </row>
    <row r="94" spans="1:21" x14ac:dyDescent="0.25">
      <c r="A94" s="1" t="s">
        <v>153</v>
      </c>
      <c r="B94" s="1" t="s">
        <v>17</v>
      </c>
      <c r="C94" s="2">
        <v>45462</v>
      </c>
      <c r="D94" s="1" t="s">
        <v>54</v>
      </c>
      <c r="E94" t="s">
        <v>436</v>
      </c>
      <c r="F94">
        <v>1224</v>
      </c>
      <c r="G94">
        <v>168</v>
      </c>
      <c r="H94">
        <v>199</v>
      </c>
      <c r="I94">
        <v>54232</v>
      </c>
      <c r="J94">
        <v>52844</v>
      </c>
      <c r="K94">
        <v>271</v>
      </c>
      <c r="L94" s="1" t="s">
        <v>22</v>
      </c>
      <c r="M94" s="1" t="s">
        <v>57</v>
      </c>
      <c r="N94" s="1" t="s">
        <v>23</v>
      </c>
      <c r="O94">
        <v>995</v>
      </c>
      <c r="P94">
        <v>86</v>
      </c>
      <c r="Q94">
        <v>22788</v>
      </c>
      <c r="R94" s="33">
        <f>(Posts[[#This Row],[Likes]]+Posts[[#This Row],[Comments]]+Posts[[#This Row],[Shares]])/Posts[[#This Row],[Impressions]]*100</f>
        <v>2.9336922849977873</v>
      </c>
      <c r="S94">
        <v>297</v>
      </c>
      <c r="T94">
        <f>Posts[[#This Row],[New_Followers]]-Posts[[#This Row],[Unfollows]]</f>
        <v>909</v>
      </c>
      <c r="U94" s="32">
        <f>Posts[[#This Row],[Engagement Rate]]/Posts[[#This Row],[Ad_Spend]]</f>
        <v>1.2873847134447022E-4</v>
      </c>
    </row>
    <row r="95" spans="1:21" x14ac:dyDescent="0.25">
      <c r="A95" s="1" t="s">
        <v>154</v>
      </c>
      <c r="B95" s="1" t="s">
        <v>12</v>
      </c>
      <c r="C95" s="2">
        <v>45464</v>
      </c>
      <c r="D95" s="1" t="s">
        <v>48</v>
      </c>
      <c r="E95" t="s">
        <v>435</v>
      </c>
      <c r="F95">
        <v>4621</v>
      </c>
      <c r="G95">
        <v>374</v>
      </c>
      <c r="H95">
        <v>298</v>
      </c>
      <c r="I95">
        <v>56979</v>
      </c>
      <c r="J95">
        <v>24098</v>
      </c>
      <c r="K95">
        <v>205</v>
      </c>
      <c r="L95" s="1" t="s">
        <v>26</v>
      </c>
      <c r="M95" s="1" t="s">
        <v>22</v>
      </c>
      <c r="N95" s="1" t="s">
        <v>9</v>
      </c>
      <c r="O95">
        <v>1472</v>
      </c>
      <c r="P95">
        <v>296</v>
      </c>
      <c r="Q95">
        <v>7810</v>
      </c>
      <c r="R95" s="33">
        <f>(Posts[[#This Row],[Likes]]+Posts[[#This Row],[Comments]]+Posts[[#This Row],[Shares]])/Posts[[#This Row],[Impressions]]*100</f>
        <v>9.2893873181347502</v>
      </c>
      <c r="S95">
        <v>129</v>
      </c>
      <c r="T95">
        <f>Posts[[#This Row],[New_Followers]]-Posts[[#This Row],[Unfollows]]</f>
        <v>1176</v>
      </c>
      <c r="U95" s="32">
        <f>Posts[[#This Row],[Engagement Rate]]/Posts[[#This Row],[Ad_Spend]]</f>
        <v>1.1894221918226312E-3</v>
      </c>
    </row>
    <row r="96" spans="1:21" x14ac:dyDescent="0.25">
      <c r="A96" s="1" t="s">
        <v>155</v>
      </c>
      <c r="B96" s="1" t="s">
        <v>12</v>
      </c>
      <c r="C96" s="2">
        <v>45468</v>
      </c>
      <c r="D96" s="1" t="s">
        <v>54</v>
      </c>
      <c r="E96" t="s">
        <v>74</v>
      </c>
      <c r="F96">
        <v>2172</v>
      </c>
      <c r="G96">
        <v>338</v>
      </c>
      <c r="H96">
        <v>70</v>
      </c>
      <c r="I96">
        <v>30515</v>
      </c>
      <c r="J96">
        <v>57853</v>
      </c>
      <c r="K96">
        <v>156</v>
      </c>
      <c r="L96" s="1" t="s">
        <v>26</v>
      </c>
      <c r="M96" s="1" t="s">
        <v>13</v>
      </c>
      <c r="N96" s="1" t="s">
        <v>23</v>
      </c>
      <c r="O96">
        <v>1472</v>
      </c>
      <c r="P96">
        <v>296</v>
      </c>
      <c r="Q96">
        <v>7810</v>
      </c>
      <c r="R96" s="33">
        <f>(Posts[[#This Row],[Likes]]+Posts[[#This Row],[Comments]]+Posts[[#This Row],[Shares]])/Posts[[#This Row],[Impressions]]*100</f>
        <v>8.4548582664263474</v>
      </c>
      <c r="S96">
        <v>156</v>
      </c>
      <c r="T96">
        <f>Posts[[#This Row],[New_Followers]]-Posts[[#This Row],[Unfollows]]</f>
        <v>1176</v>
      </c>
      <c r="U96" s="32">
        <f>Posts[[#This Row],[Engagement Rate]]/Posts[[#This Row],[Ad_Spend]]</f>
        <v>1.0825682799521571E-3</v>
      </c>
    </row>
    <row r="97" spans="1:21" x14ac:dyDescent="0.25">
      <c r="A97" s="1" t="s">
        <v>156</v>
      </c>
      <c r="B97" s="1" t="s">
        <v>11</v>
      </c>
      <c r="C97" s="2">
        <v>45469</v>
      </c>
      <c r="D97" s="1" t="s">
        <v>54</v>
      </c>
      <c r="E97" t="s">
        <v>438</v>
      </c>
      <c r="F97">
        <v>3253</v>
      </c>
      <c r="G97">
        <v>483</v>
      </c>
      <c r="H97">
        <v>336</v>
      </c>
      <c r="I97">
        <v>25397</v>
      </c>
      <c r="J97">
        <v>51485</v>
      </c>
      <c r="K97">
        <v>131</v>
      </c>
      <c r="L97" s="1" t="s">
        <v>26</v>
      </c>
      <c r="M97" s="1" t="s">
        <v>57</v>
      </c>
      <c r="N97" s="1" t="s">
        <v>23</v>
      </c>
      <c r="O97">
        <v>1402</v>
      </c>
      <c r="P97">
        <v>68</v>
      </c>
      <c r="Q97">
        <v>23125</v>
      </c>
      <c r="R97" s="33">
        <f>(Posts[[#This Row],[Likes]]+Posts[[#This Row],[Comments]]+Posts[[#This Row],[Shares]])/Posts[[#This Row],[Impressions]]*100</f>
        <v>16.033389770445329</v>
      </c>
      <c r="S97">
        <v>29</v>
      </c>
      <c r="T97">
        <f>Posts[[#This Row],[New_Followers]]-Posts[[#This Row],[Unfollows]]</f>
        <v>1334</v>
      </c>
      <c r="U97" s="32">
        <f>Posts[[#This Row],[Engagement Rate]]/Posts[[#This Row],[Ad_Spend]]</f>
        <v>6.9333577385709527E-4</v>
      </c>
    </row>
    <row r="98" spans="1:21" x14ac:dyDescent="0.25">
      <c r="A98" s="1" t="s">
        <v>157</v>
      </c>
      <c r="B98" s="1" t="s">
        <v>11</v>
      </c>
      <c r="C98" s="2">
        <v>45472</v>
      </c>
      <c r="D98" s="1" t="s">
        <v>54</v>
      </c>
      <c r="E98" t="s">
        <v>74</v>
      </c>
      <c r="F98">
        <v>2088</v>
      </c>
      <c r="G98">
        <v>490</v>
      </c>
      <c r="H98">
        <v>124</v>
      </c>
      <c r="I98">
        <v>46544</v>
      </c>
      <c r="J98">
        <v>69346</v>
      </c>
      <c r="K98">
        <v>178</v>
      </c>
      <c r="L98" s="1" t="s">
        <v>22</v>
      </c>
      <c r="M98" s="1" t="s">
        <v>18</v>
      </c>
      <c r="N98" s="1" t="s">
        <v>19</v>
      </c>
      <c r="O98">
        <v>1402</v>
      </c>
      <c r="P98">
        <v>68</v>
      </c>
      <c r="Q98">
        <v>23125</v>
      </c>
      <c r="R98" s="33">
        <f>(Posts[[#This Row],[Likes]]+Posts[[#This Row],[Comments]]+Posts[[#This Row],[Shares]])/Posts[[#This Row],[Impressions]]*100</f>
        <v>5.8052595393606046</v>
      </c>
      <c r="S98">
        <v>229</v>
      </c>
      <c r="T98">
        <f>Posts[[#This Row],[New_Followers]]-Posts[[#This Row],[Unfollows]]</f>
        <v>1334</v>
      </c>
      <c r="U98" s="32">
        <f>Posts[[#This Row],[Engagement Rate]]/Posts[[#This Row],[Ad_Spend]]</f>
        <v>2.5103825035072884E-4</v>
      </c>
    </row>
    <row r="99" spans="1:21" x14ac:dyDescent="0.25">
      <c r="A99" s="1" t="s">
        <v>158</v>
      </c>
      <c r="B99" s="1" t="s">
        <v>11</v>
      </c>
      <c r="C99" s="2">
        <v>45475</v>
      </c>
      <c r="D99" s="1" t="s">
        <v>54</v>
      </c>
      <c r="E99" t="s">
        <v>55</v>
      </c>
      <c r="F99">
        <v>3469</v>
      </c>
      <c r="G99">
        <v>371</v>
      </c>
      <c r="H99">
        <v>76</v>
      </c>
      <c r="I99">
        <v>46493</v>
      </c>
      <c r="J99">
        <v>26906</v>
      </c>
      <c r="K99">
        <v>150</v>
      </c>
      <c r="L99" s="1" t="s">
        <v>22</v>
      </c>
      <c r="M99" s="1" t="s">
        <v>18</v>
      </c>
      <c r="N99" s="1" t="s">
        <v>19</v>
      </c>
      <c r="O99">
        <v>1402</v>
      </c>
      <c r="P99">
        <v>68</v>
      </c>
      <c r="Q99">
        <v>23125</v>
      </c>
      <c r="R99" s="33">
        <f>(Posts[[#This Row],[Likes]]+Posts[[#This Row],[Comments]]+Posts[[#This Row],[Shares]])/Posts[[#This Row],[Impressions]]*100</f>
        <v>8.4227733207149456</v>
      </c>
      <c r="S99">
        <v>159</v>
      </c>
      <c r="T99">
        <f>Posts[[#This Row],[New_Followers]]-Posts[[#This Row],[Unfollows]]</f>
        <v>1334</v>
      </c>
      <c r="U99" s="32">
        <f>Posts[[#This Row],[Engagement Rate]]/Posts[[#This Row],[Ad_Spend]]</f>
        <v>3.6422803549037602E-4</v>
      </c>
    </row>
    <row r="100" spans="1:21" x14ac:dyDescent="0.25">
      <c r="A100" s="1" t="s">
        <v>159</v>
      </c>
      <c r="B100" s="1" t="s">
        <v>11</v>
      </c>
      <c r="C100" s="2">
        <v>45478</v>
      </c>
      <c r="D100" s="1" t="s">
        <v>54</v>
      </c>
      <c r="E100" t="s">
        <v>74</v>
      </c>
      <c r="F100">
        <v>3753</v>
      </c>
      <c r="G100">
        <v>411</v>
      </c>
      <c r="H100">
        <v>308</v>
      </c>
      <c r="I100">
        <v>29138</v>
      </c>
      <c r="J100">
        <v>27678</v>
      </c>
      <c r="K100">
        <v>90</v>
      </c>
      <c r="L100" s="1" t="s">
        <v>26</v>
      </c>
      <c r="M100" s="1" t="s">
        <v>57</v>
      </c>
      <c r="N100" s="1" t="s">
        <v>23</v>
      </c>
      <c r="O100">
        <v>1402</v>
      </c>
      <c r="P100">
        <v>68</v>
      </c>
      <c r="Q100">
        <v>23125</v>
      </c>
      <c r="R100" s="33">
        <f>(Posts[[#This Row],[Likes]]+Posts[[#This Row],[Comments]]+Posts[[#This Row],[Shares]])/Posts[[#This Row],[Impressions]]*100</f>
        <v>15.347655981879333</v>
      </c>
      <c r="S100">
        <v>35</v>
      </c>
      <c r="T100">
        <f>Posts[[#This Row],[New_Followers]]-Posts[[#This Row],[Unfollows]]</f>
        <v>1334</v>
      </c>
      <c r="U100" s="32">
        <f>Posts[[#This Row],[Engagement Rate]]/Posts[[#This Row],[Ad_Spend]]</f>
        <v>6.636824208380252E-4</v>
      </c>
    </row>
    <row r="101" spans="1:21" x14ac:dyDescent="0.25">
      <c r="A101" s="1" t="s">
        <v>160</v>
      </c>
      <c r="B101" s="1" t="s">
        <v>17</v>
      </c>
      <c r="C101" s="2">
        <v>45480</v>
      </c>
      <c r="D101" s="1" t="s">
        <v>54</v>
      </c>
      <c r="E101" t="s">
        <v>436</v>
      </c>
      <c r="F101">
        <v>1035</v>
      </c>
      <c r="G101">
        <v>137</v>
      </c>
      <c r="H101">
        <v>184</v>
      </c>
      <c r="I101">
        <v>37302</v>
      </c>
      <c r="J101">
        <v>68953</v>
      </c>
      <c r="K101">
        <v>237</v>
      </c>
      <c r="L101" s="1" t="s">
        <v>22</v>
      </c>
      <c r="M101" s="1" t="s">
        <v>57</v>
      </c>
      <c r="N101" s="1" t="s">
        <v>23</v>
      </c>
      <c r="O101">
        <v>995</v>
      </c>
      <c r="P101">
        <v>86</v>
      </c>
      <c r="Q101">
        <v>22788</v>
      </c>
      <c r="R101" s="33">
        <f>(Posts[[#This Row],[Likes]]+Posts[[#This Row],[Comments]]+Posts[[#This Row],[Shares]])/Posts[[#This Row],[Impressions]]*100</f>
        <v>3.6351938233874859</v>
      </c>
      <c r="S101">
        <v>282</v>
      </c>
      <c r="T101">
        <f>Posts[[#This Row],[New_Followers]]-Posts[[#This Row],[Unfollows]]</f>
        <v>909</v>
      </c>
      <c r="U101" s="32">
        <f>Posts[[#This Row],[Engagement Rate]]/Posts[[#This Row],[Ad_Spend]]</f>
        <v>1.5952228468437272E-4</v>
      </c>
    </row>
    <row r="102" spans="1:21" x14ac:dyDescent="0.25">
      <c r="A102" s="1" t="s">
        <v>161</v>
      </c>
      <c r="B102" s="1" t="s">
        <v>17</v>
      </c>
      <c r="C102" s="2">
        <v>45480</v>
      </c>
      <c r="D102" s="1" t="s">
        <v>54</v>
      </c>
      <c r="E102" t="s">
        <v>438</v>
      </c>
      <c r="F102">
        <v>1848</v>
      </c>
      <c r="G102">
        <v>417</v>
      </c>
      <c r="H102">
        <v>294</v>
      </c>
      <c r="I102">
        <v>57819</v>
      </c>
      <c r="J102">
        <v>19798</v>
      </c>
      <c r="K102">
        <v>262</v>
      </c>
      <c r="L102" s="1" t="s">
        <v>22</v>
      </c>
      <c r="M102" s="1" t="s">
        <v>57</v>
      </c>
      <c r="N102" s="1" t="s">
        <v>23</v>
      </c>
      <c r="O102">
        <v>995</v>
      </c>
      <c r="P102">
        <v>86</v>
      </c>
      <c r="Q102">
        <v>22788</v>
      </c>
      <c r="R102" s="33">
        <f>(Posts[[#This Row],[Likes]]+Posts[[#This Row],[Comments]]+Posts[[#This Row],[Shares]])/Posts[[#This Row],[Impressions]]*100</f>
        <v>4.4258807658382189</v>
      </c>
      <c r="S102">
        <v>269</v>
      </c>
      <c r="T102">
        <f>Posts[[#This Row],[New_Followers]]-Posts[[#This Row],[Unfollows]]</f>
        <v>909</v>
      </c>
      <c r="U102" s="32">
        <f>Posts[[#This Row],[Engagement Rate]]/Posts[[#This Row],[Ad_Spend]]</f>
        <v>1.9421979839556868E-4</v>
      </c>
    </row>
    <row r="103" spans="1:21" x14ac:dyDescent="0.25">
      <c r="A103" s="10" t="s">
        <v>162</v>
      </c>
      <c r="B103" s="10" t="s">
        <v>17</v>
      </c>
      <c r="C103" s="23">
        <v>45481</v>
      </c>
      <c r="D103" s="10" t="s">
        <v>51</v>
      </c>
      <c r="E103" s="10" t="s">
        <v>55</v>
      </c>
      <c r="F103" s="10">
        <v>2981</v>
      </c>
      <c r="G103" s="10">
        <v>258</v>
      </c>
      <c r="H103" s="10">
        <v>168</v>
      </c>
      <c r="I103" s="10">
        <v>20677</v>
      </c>
      <c r="J103" s="10">
        <v>68290</v>
      </c>
      <c r="K103" s="10">
        <v>130</v>
      </c>
      <c r="L103" s="10" t="s">
        <v>22</v>
      </c>
      <c r="M103" s="10" t="s">
        <v>18</v>
      </c>
      <c r="N103" s="10" t="s">
        <v>19</v>
      </c>
      <c r="O103" s="10">
        <v>995</v>
      </c>
      <c r="P103" s="10">
        <v>86</v>
      </c>
      <c r="Q103" s="10">
        <v>22788</v>
      </c>
      <c r="R103" s="34">
        <f>(Posts[[#This Row],[Likes]]+Posts[[#This Row],[Comments]]+Posts[[#This Row],[Shares]])/Posts[[#This Row],[Impressions]]*100</f>
        <v>16.477245248343568</v>
      </c>
      <c r="S103">
        <v>22</v>
      </c>
      <c r="T103" s="10">
        <f>Posts[[#This Row],[New_Followers]]-Posts[[#This Row],[Unfollows]]</f>
        <v>909</v>
      </c>
      <c r="U103" s="10">
        <f>Posts[[#This Row],[Engagement Rate]]/Posts[[#This Row],[Ad_Spend]]</f>
        <v>7.2306675655360575E-4</v>
      </c>
    </row>
    <row r="104" spans="1:21" x14ac:dyDescent="0.25">
      <c r="A104" s="1" t="s">
        <v>163</v>
      </c>
      <c r="B104" s="1" t="s">
        <v>17</v>
      </c>
      <c r="C104" s="2">
        <v>45481</v>
      </c>
      <c r="D104" s="1" t="s">
        <v>51</v>
      </c>
      <c r="E104" t="s">
        <v>437</v>
      </c>
      <c r="F104">
        <v>2304</v>
      </c>
      <c r="G104">
        <v>289</v>
      </c>
      <c r="H104">
        <v>161</v>
      </c>
      <c r="I104">
        <v>52645</v>
      </c>
      <c r="J104">
        <v>66262</v>
      </c>
      <c r="K104">
        <v>146</v>
      </c>
      <c r="L104" s="1" t="s">
        <v>14</v>
      </c>
      <c r="M104" s="1" t="s">
        <v>18</v>
      </c>
      <c r="N104" s="1" t="s">
        <v>19</v>
      </c>
      <c r="O104">
        <v>995</v>
      </c>
      <c r="P104">
        <v>86</v>
      </c>
      <c r="Q104">
        <v>22788</v>
      </c>
      <c r="R104" s="33">
        <f>(Posts[[#This Row],[Likes]]+Posts[[#This Row],[Comments]]+Posts[[#This Row],[Shares]])/Posts[[#This Row],[Impressions]]*100</f>
        <v>5.2312660271630733</v>
      </c>
      <c r="S104">
        <v>246</v>
      </c>
      <c r="T104">
        <f>Posts[[#This Row],[New_Followers]]-Posts[[#This Row],[Unfollows]]</f>
        <v>909</v>
      </c>
      <c r="U104" s="32">
        <f>Posts[[#This Row],[Engagement Rate]]/Posts[[#This Row],[Ad_Spend]]</f>
        <v>2.2956231469032268E-4</v>
      </c>
    </row>
    <row r="105" spans="1:21" x14ac:dyDescent="0.25">
      <c r="A105" s="1" t="s">
        <v>164</v>
      </c>
      <c r="B105" s="1" t="s">
        <v>17</v>
      </c>
      <c r="C105" s="2">
        <v>45484</v>
      </c>
      <c r="D105" s="1" t="s">
        <v>51</v>
      </c>
      <c r="E105" t="s">
        <v>89</v>
      </c>
      <c r="F105">
        <v>4247</v>
      </c>
      <c r="G105">
        <v>179</v>
      </c>
      <c r="H105">
        <v>175</v>
      </c>
      <c r="I105">
        <v>32991</v>
      </c>
      <c r="J105">
        <v>70120</v>
      </c>
      <c r="K105">
        <v>276</v>
      </c>
      <c r="L105" s="1" t="s">
        <v>22</v>
      </c>
      <c r="M105" s="1" t="s">
        <v>18</v>
      </c>
      <c r="N105" s="1" t="s">
        <v>19</v>
      </c>
      <c r="O105">
        <v>995</v>
      </c>
      <c r="P105">
        <v>86</v>
      </c>
      <c r="Q105">
        <v>22788</v>
      </c>
      <c r="R105" s="33">
        <f>(Posts[[#This Row],[Likes]]+Posts[[#This Row],[Comments]]+Posts[[#This Row],[Shares]])/Posts[[#This Row],[Impressions]]*100</f>
        <v>13.946227759085811</v>
      </c>
      <c r="S105">
        <v>47</v>
      </c>
      <c r="T105">
        <f>Posts[[#This Row],[New_Followers]]-Posts[[#This Row],[Unfollows]]</f>
        <v>909</v>
      </c>
      <c r="U105" s="32">
        <f>Posts[[#This Row],[Engagement Rate]]/Posts[[#This Row],[Ad_Spend]]</f>
        <v>6.1199876071115552E-4</v>
      </c>
    </row>
    <row r="106" spans="1:21" x14ac:dyDescent="0.25">
      <c r="A106" s="1" t="s">
        <v>165</v>
      </c>
      <c r="B106" s="1" t="s">
        <v>17</v>
      </c>
      <c r="C106" s="2">
        <v>45486</v>
      </c>
      <c r="D106" s="1" t="s">
        <v>51</v>
      </c>
      <c r="E106" t="s">
        <v>89</v>
      </c>
      <c r="F106">
        <v>2408</v>
      </c>
      <c r="G106">
        <v>323</v>
      </c>
      <c r="H106">
        <v>251</v>
      </c>
      <c r="I106">
        <v>47599</v>
      </c>
      <c r="J106">
        <v>35543</v>
      </c>
      <c r="K106">
        <v>287</v>
      </c>
      <c r="L106" s="1" t="s">
        <v>14</v>
      </c>
      <c r="M106" s="1" t="s">
        <v>18</v>
      </c>
      <c r="N106" s="1" t="s">
        <v>19</v>
      </c>
      <c r="O106">
        <v>995</v>
      </c>
      <c r="P106">
        <v>86</v>
      </c>
      <c r="Q106">
        <v>22788</v>
      </c>
      <c r="R106" s="33">
        <f>(Posts[[#This Row],[Likes]]+Posts[[#This Row],[Comments]]+Posts[[#This Row],[Shares]])/Posts[[#This Row],[Impressions]]*100</f>
        <v>6.2648374965860638</v>
      </c>
      <c r="S106">
        <v>217</v>
      </c>
      <c r="T106">
        <f>Posts[[#This Row],[New_Followers]]-Posts[[#This Row],[Unfollows]]</f>
        <v>909</v>
      </c>
      <c r="U106" s="32">
        <f>Posts[[#This Row],[Engagement Rate]]/Posts[[#This Row],[Ad_Spend]]</f>
        <v>2.7491826823705738E-4</v>
      </c>
    </row>
    <row r="107" spans="1:21" x14ac:dyDescent="0.25">
      <c r="A107" s="1" t="s">
        <v>166</v>
      </c>
      <c r="B107" s="1" t="s">
        <v>11</v>
      </c>
      <c r="C107" s="2">
        <v>45487</v>
      </c>
      <c r="D107" s="1" t="s">
        <v>54</v>
      </c>
      <c r="E107" t="s">
        <v>74</v>
      </c>
      <c r="F107">
        <v>2464</v>
      </c>
      <c r="G107">
        <v>401</v>
      </c>
      <c r="H107">
        <v>78</v>
      </c>
      <c r="I107">
        <v>38665</v>
      </c>
      <c r="J107">
        <v>73593</v>
      </c>
      <c r="K107">
        <v>207</v>
      </c>
      <c r="L107" s="1" t="s">
        <v>26</v>
      </c>
      <c r="M107" s="1" t="s">
        <v>57</v>
      </c>
      <c r="N107" s="1" t="s">
        <v>23</v>
      </c>
      <c r="O107">
        <v>1402</v>
      </c>
      <c r="P107">
        <v>68</v>
      </c>
      <c r="Q107">
        <v>23125</v>
      </c>
      <c r="R107" s="33">
        <f>(Posts[[#This Row],[Likes]]+Posts[[#This Row],[Comments]]+Posts[[#This Row],[Shares]])/Posts[[#This Row],[Impressions]]*100</f>
        <v>7.6115349799560317</v>
      </c>
      <c r="S107">
        <v>186</v>
      </c>
      <c r="T107">
        <f>Posts[[#This Row],[New_Followers]]-Posts[[#This Row],[Unfollows]]</f>
        <v>1334</v>
      </c>
      <c r="U107" s="32">
        <f>Posts[[#This Row],[Engagement Rate]]/Posts[[#This Row],[Ad_Spend]]</f>
        <v>3.2914745859269324E-4</v>
      </c>
    </row>
    <row r="108" spans="1:21" x14ac:dyDescent="0.25">
      <c r="A108" s="1" t="s">
        <v>167</v>
      </c>
      <c r="B108" s="1" t="s">
        <v>12</v>
      </c>
      <c r="C108" s="2">
        <v>45487</v>
      </c>
      <c r="D108" s="1" t="s">
        <v>54</v>
      </c>
      <c r="E108" t="s">
        <v>437</v>
      </c>
      <c r="F108">
        <v>3806</v>
      </c>
      <c r="G108">
        <v>114</v>
      </c>
      <c r="H108">
        <v>278</v>
      </c>
      <c r="I108">
        <v>36148</v>
      </c>
      <c r="J108">
        <v>24209</v>
      </c>
      <c r="K108">
        <v>201</v>
      </c>
      <c r="L108" s="1" t="s">
        <v>26</v>
      </c>
      <c r="M108" s="1" t="s">
        <v>13</v>
      </c>
      <c r="N108" s="1" t="s">
        <v>23</v>
      </c>
      <c r="O108">
        <v>1472</v>
      </c>
      <c r="P108">
        <v>296</v>
      </c>
      <c r="Q108">
        <v>7810</v>
      </c>
      <c r="R108" s="33">
        <f>(Posts[[#This Row],[Likes]]+Posts[[#This Row],[Comments]]+Posts[[#This Row],[Shares]])/Posts[[#This Row],[Impressions]]*100</f>
        <v>11.613367267898639</v>
      </c>
      <c r="S108">
        <v>70</v>
      </c>
      <c r="T108">
        <f>Posts[[#This Row],[New_Followers]]-Posts[[#This Row],[Unfollows]]</f>
        <v>1176</v>
      </c>
      <c r="U108" s="32">
        <f>Posts[[#This Row],[Engagement Rate]]/Posts[[#This Row],[Ad_Spend]]</f>
        <v>1.486986846081772E-3</v>
      </c>
    </row>
    <row r="109" spans="1:21" x14ac:dyDescent="0.25">
      <c r="A109" s="1" t="s">
        <v>168</v>
      </c>
      <c r="B109" s="1" t="s">
        <v>17</v>
      </c>
      <c r="C109" s="2">
        <v>45489</v>
      </c>
      <c r="D109" s="1" t="s">
        <v>54</v>
      </c>
      <c r="E109" t="s">
        <v>55</v>
      </c>
      <c r="F109">
        <v>1803</v>
      </c>
      <c r="G109">
        <v>273</v>
      </c>
      <c r="H109">
        <v>287</v>
      </c>
      <c r="I109">
        <v>46176</v>
      </c>
      <c r="J109">
        <v>25488</v>
      </c>
      <c r="K109">
        <v>141</v>
      </c>
      <c r="L109" s="1" t="s">
        <v>18</v>
      </c>
      <c r="M109" s="1" t="s">
        <v>57</v>
      </c>
      <c r="N109" s="1" t="s">
        <v>19</v>
      </c>
      <c r="O109">
        <v>995</v>
      </c>
      <c r="P109">
        <v>86</v>
      </c>
      <c r="Q109">
        <v>22788</v>
      </c>
      <c r="R109" s="33">
        <f>(Posts[[#This Row],[Likes]]+Posts[[#This Row],[Comments]]+Posts[[#This Row],[Shares]])/Posts[[#This Row],[Impressions]]*100</f>
        <v>5.1173769923769923</v>
      </c>
      <c r="S109">
        <v>253</v>
      </c>
      <c r="T109">
        <f>Posts[[#This Row],[New_Followers]]-Posts[[#This Row],[Unfollows]]</f>
        <v>909</v>
      </c>
      <c r="U109" s="32">
        <f>Posts[[#This Row],[Engagement Rate]]/Posts[[#This Row],[Ad_Spend]]</f>
        <v>2.2456455118382448E-4</v>
      </c>
    </row>
    <row r="110" spans="1:21" x14ac:dyDescent="0.25">
      <c r="A110" s="1" t="s">
        <v>169</v>
      </c>
      <c r="B110" s="1" t="s">
        <v>12</v>
      </c>
      <c r="C110" s="2">
        <v>45490</v>
      </c>
      <c r="D110" s="1" t="s">
        <v>54</v>
      </c>
      <c r="E110" t="s">
        <v>55</v>
      </c>
      <c r="F110">
        <v>3135</v>
      </c>
      <c r="G110">
        <v>110</v>
      </c>
      <c r="H110">
        <v>215</v>
      </c>
      <c r="I110">
        <v>39192</v>
      </c>
      <c r="J110">
        <v>24744</v>
      </c>
      <c r="K110">
        <v>177</v>
      </c>
      <c r="L110" s="1" t="s">
        <v>26</v>
      </c>
      <c r="M110" s="1" t="s">
        <v>13</v>
      </c>
      <c r="N110" s="1" t="s">
        <v>23</v>
      </c>
      <c r="O110">
        <v>1472</v>
      </c>
      <c r="P110">
        <v>296</v>
      </c>
      <c r="Q110">
        <v>7810</v>
      </c>
      <c r="R110" s="33">
        <f>(Posts[[#This Row],[Likes]]+Posts[[#This Row],[Comments]]+Posts[[#This Row],[Shares]])/Posts[[#This Row],[Impressions]]*100</f>
        <v>8.8283323127168813</v>
      </c>
      <c r="S110">
        <v>141</v>
      </c>
      <c r="T110">
        <f>Posts[[#This Row],[New_Followers]]-Posts[[#This Row],[Unfollows]]</f>
        <v>1176</v>
      </c>
      <c r="U110" s="32">
        <f>Posts[[#This Row],[Engagement Rate]]/Posts[[#This Row],[Ad_Spend]]</f>
        <v>1.1303882602710475E-3</v>
      </c>
    </row>
    <row r="111" spans="1:21" x14ac:dyDescent="0.25">
      <c r="A111" s="1" t="s">
        <v>170</v>
      </c>
      <c r="B111" s="1" t="s">
        <v>17</v>
      </c>
      <c r="C111" s="2">
        <v>45492</v>
      </c>
      <c r="D111" s="1" t="s">
        <v>51</v>
      </c>
      <c r="E111" t="s">
        <v>436</v>
      </c>
      <c r="F111">
        <v>3071</v>
      </c>
      <c r="G111">
        <v>126</v>
      </c>
      <c r="H111">
        <v>200</v>
      </c>
      <c r="I111">
        <v>44013</v>
      </c>
      <c r="J111">
        <v>44679</v>
      </c>
      <c r="K111">
        <v>118</v>
      </c>
      <c r="L111" s="1" t="s">
        <v>26</v>
      </c>
      <c r="M111" s="1" t="s">
        <v>14</v>
      </c>
      <c r="N111" s="1" t="s">
        <v>19</v>
      </c>
      <c r="O111">
        <v>995</v>
      </c>
      <c r="P111">
        <v>86</v>
      </c>
      <c r="Q111">
        <v>22788</v>
      </c>
      <c r="R111" s="33">
        <f>(Posts[[#This Row],[Likes]]+Posts[[#This Row],[Comments]]+Posts[[#This Row],[Shares]])/Posts[[#This Row],[Impressions]]*100</f>
        <v>7.7181741758116917</v>
      </c>
      <c r="S111">
        <v>185</v>
      </c>
      <c r="T111">
        <f>Posts[[#This Row],[New_Followers]]-Posts[[#This Row],[Unfollows]]</f>
        <v>909</v>
      </c>
      <c r="U111" s="32">
        <f>Posts[[#This Row],[Engagement Rate]]/Posts[[#This Row],[Ad_Spend]]</f>
        <v>3.3869467157327063E-4</v>
      </c>
    </row>
    <row r="112" spans="1:21" x14ac:dyDescent="0.25">
      <c r="A112" s="10" t="s">
        <v>171</v>
      </c>
      <c r="B112" s="10" t="s">
        <v>12</v>
      </c>
      <c r="C112" s="23">
        <v>45493</v>
      </c>
      <c r="D112" s="10" t="s">
        <v>48</v>
      </c>
      <c r="E112" s="10" t="s">
        <v>435</v>
      </c>
      <c r="F112" s="10">
        <v>4955</v>
      </c>
      <c r="G112" s="10">
        <v>299</v>
      </c>
      <c r="H112" s="10">
        <v>345</v>
      </c>
      <c r="I112" s="10">
        <v>33644</v>
      </c>
      <c r="J112" s="10">
        <v>43547</v>
      </c>
      <c r="K112" s="10">
        <v>194</v>
      </c>
      <c r="L112" s="10" t="s">
        <v>26</v>
      </c>
      <c r="M112" s="10" t="s">
        <v>22</v>
      </c>
      <c r="N112" s="10" t="s">
        <v>9</v>
      </c>
      <c r="O112" s="10">
        <v>1472</v>
      </c>
      <c r="P112" s="10">
        <v>296</v>
      </c>
      <c r="Q112" s="10">
        <v>7810</v>
      </c>
      <c r="R112" s="34">
        <f>(Posts[[#This Row],[Likes]]+Posts[[#This Row],[Comments]]+Posts[[#This Row],[Shares]])/Posts[[#This Row],[Impressions]]*100</f>
        <v>16.641897515158721</v>
      </c>
      <c r="S112">
        <v>20</v>
      </c>
      <c r="T112" s="10">
        <f>Posts[[#This Row],[New_Followers]]-Posts[[#This Row],[Unfollows]]</f>
        <v>1176</v>
      </c>
      <c r="U112" s="10">
        <f>Posts[[#This Row],[Engagement Rate]]/Posts[[#This Row],[Ad_Spend]]</f>
        <v>2.1308447522610397E-3</v>
      </c>
    </row>
    <row r="113" spans="1:21" x14ac:dyDescent="0.25">
      <c r="A113" s="1" t="s">
        <v>172</v>
      </c>
      <c r="B113" s="1" t="s">
        <v>11</v>
      </c>
      <c r="C113" s="2">
        <v>45494</v>
      </c>
      <c r="D113" s="1" t="s">
        <v>54</v>
      </c>
      <c r="E113" t="s">
        <v>69</v>
      </c>
      <c r="F113">
        <v>3004</v>
      </c>
      <c r="G113">
        <v>415</v>
      </c>
      <c r="H113">
        <v>218</v>
      </c>
      <c r="I113">
        <v>36090</v>
      </c>
      <c r="J113">
        <v>37073</v>
      </c>
      <c r="K113">
        <v>181</v>
      </c>
      <c r="L113" s="1" t="s">
        <v>26</v>
      </c>
      <c r="M113" s="1" t="s">
        <v>57</v>
      </c>
      <c r="N113" s="1" t="s">
        <v>23</v>
      </c>
      <c r="O113">
        <v>1402</v>
      </c>
      <c r="P113">
        <v>68</v>
      </c>
      <c r="Q113">
        <v>23125</v>
      </c>
      <c r="R113" s="33">
        <f>(Posts[[#This Row],[Likes]]+Posts[[#This Row],[Comments]]+Posts[[#This Row],[Shares]])/Posts[[#This Row],[Impressions]]*100</f>
        <v>10.077583818232197</v>
      </c>
      <c r="S113">
        <v>107</v>
      </c>
      <c r="T113">
        <f>Posts[[#This Row],[New_Followers]]-Posts[[#This Row],[Unfollows]]</f>
        <v>1334</v>
      </c>
      <c r="U113" s="32">
        <f>Posts[[#This Row],[Engagement Rate]]/Posts[[#This Row],[Ad_Spend]]</f>
        <v>4.3578740835598692E-4</v>
      </c>
    </row>
    <row r="114" spans="1:21" x14ac:dyDescent="0.25">
      <c r="A114" s="10" t="s">
        <v>173</v>
      </c>
      <c r="B114" s="10" t="s">
        <v>17</v>
      </c>
      <c r="C114" s="23">
        <v>45495</v>
      </c>
      <c r="D114" s="10" t="s">
        <v>51</v>
      </c>
      <c r="E114" s="10" t="s">
        <v>437</v>
      </c>
      <c r="F114" s="10">
        <v>3336</v>
      </c>
      <c r="G114" s="10">
        <v>229</v>
      </c>
      <c r="H114" s="10">
        <v>337</v>
      </c>
      <c r="I114" s="10">
        <v>22117</v>
      </c>
      <c r="J114" s="10">
        <v>26205</v>
      </c>
      <c r="K114" s="10">
        <v>160</v>
      </c>
      <c r="L114" s="10" t="s">
        <v>14</v>
      </c>
      <c r="M114" s="10" t="s">
        <v>18</v>
      </c>
      <c r="N114" s="10" t="s">
        <v>19</v>
      </c>
      <c r="O114" s="10">
        <v>995</v>
      </c>
      <c r="P114" s="10">
        <v>86</v>
      </c>
      <c r="Q114" s="10">
        <v>22788</v>
      </c>
      <c r="R114" s="34">
        <f>(Posts[[#This Row],[Likes]]+Posts[[#This Row],[Comments]]+Posts[[#This Row],[Shares]])/Posts[[#This Row],[Impressions]]*100</f>
        <v>17.642537414658406</v>
      </c>
      <c r="S114">
        <v>15</v>
      </c>
      <c r="T114" s="10">
        <f>Posts[[#This Row],[New_Followers]]-Posts[[#This Row],[Unfollows]]</f>
        <v>909</v>
      </c>
      <c r="U114" s="10">
        <f>Posts[[#This Row],[Engagement Rate]]/Posts[[#This Row],[Ad_Spend]]</f>
        <v>7.742029758933828E-4</v>
      </c>
    </row>
    <row r="115" spans="1:21" x14ac:dyDescent="0.25">
      <c r="A115" s="10" t="s">
        <v>174</v>
      </c>
      <c r="B115" s="10" t="s">
        <v>17</v>
      </c>
      <c r="C115" s="23">
        <v>45496</v>
      </c>
      <c r="D115" s="10" t="s">
        <v>54</v>
      </c>
      <c r="E115" s="10" t="s">
        <v>55</v>
      </c>
      <c r="F115" s="10">
        <v>3204</v>
      </c>
      <c r="G115" s="10">
        <v>398</v>
      </c>
      <c r="H115" s="10">
        <v>85</v>
      </c>
      <c r="I115" s="10">
        <v>22020</v>
      </c>
      <c r="J115" s="10">
        <v>58353</v>
      </c>
      <c r="K115" s="10">
        <v>286</v>
      </c>
      <c r="L115" s="10" t="s">
        <v>22</v>
      </c>
      <c r="M115" s="10" t="s">
        <v>57</v>
      </c>
      <c r="N115" s="10" t="s">
        <v>23</v>
      </c>
      <c r="O115" s="10">
        <v>995</v>
      </c>
      <c r="P115" s="10">
        <v>86</v>
      </c>
      <c r="Q115" s="10">
        <v>22788</v>
      </c>
      <c r="R115" s="34">
        <f>(Posts[[#This Row],[Likes]]+Posts[[#This Row],[Comments]]+Posts[[#This Row],[Shares]])/Posts[[#This Row],[Impressions]]*100</f>
        <v>16.743869209809265</v>
      </c>
      <c r="S115">
        <v>19</v>
      </c>
      <c r="T115" s="10">
        <f>Posts[[#This Row],[New_Followers]]-Posts[[#This Row],[Unfollows]]</f>
        <v>909</v>
      </c>
      <c r="U115" s="10">
        <f>Posts[[#This Row],[Engagement Rate]]/Posts[[#This Row],[Ad_Spend]]</f>
        <v>7.347669479466941E-4</v>
      </c>
    </row>
    <row r="116" spans="1:21" x14ac:dyDescent="0.25">
      <c r="A116" s="10" t="s">
        <v>175</v>
      </c>
      <c r="B116" s="10" t="s">
        <v>17</v>
      </c>
      <c r="C116" s="23">
        <v>45507</v>
      </c>
      <c r="D116" s="10" t="s">
        <v>54</v>
      </c>
      <c r="E116" s="10" t="s">
        <v>74</v>
      </c>
      <c r="F116" s="10">
        <v>4247</v>
      </c>
      <c r="G116" s="10">
        <v>390</v>
      </c>
      <c r="H116" s="10">
        <v>213</v>
      </c>
      <c r="I116" s="10">
        <v>29785</v>
      </c>
      <c r="J116" s="10">
        <v>57768</v>
      </c>
      <c r="K116" s="10">
        <v>122</v>
      </c>
      <c r="L116" s="10" t="s">
        <v>18</v>
      </c>
      <c r="M116" s="10" t="s">
        <v>57</v>
      </c>
      <c r="N116" s="10" t="s">
        <v>19</v>
      </c>
      <c r="O116" s="10">
        <v>995</v>
      </c>
      <c r="P116" s="10">
        <v>86</v>
      </c>
      <c r="Q116" s="10">
        <v>22788</v>
      </c>
      <c r="R116" s="34">
        <f>(Posts[[#This Row],[Likes]]+Posts[[#This Row],[Comments]]+Posts[[#This Row],[Shares]])/Posts[[#This Row],[Impressions]]*100</f>
        <v>16.283364109451064</v>
      </c>
      <c r="S116">
        <v>24</v>
      </c>
      <c r="T116" s="10">
        <f>Posts[[#This Row],[New_Followers]]-Posts[[#This Row],[Unfollows]]</f>
        <v>909</v>
      </c>
      <c r="U116" s="10">
        <f>Posts[[#This Row],[Engagement Rate]]/Posts[[#This Row],[Ad_Spend]]</f>
        <v>7.145587199162307E-4</v>
      </c>
    </row>
    <row r="117" spans="1:21" x14ac:dyDescent="0.25">
      <c r="A117" s="1" t="s">
        <v>176</v>
      </c>
      <c r="B117" s="1" t="s">
        <v>12</v>
      </c>
      <c r="C117" s="2">
        <v>45512</v>
      </c>
      <c r="D117" s="1" t="s">
        <v>54</v>
      </c>
      <c r="E117" t="s">
        <v>439</v>
      </c>
      <c r="F117">
        <v>1994</v>
      </c>
      <c r="G117">
        <v>197</v>
      </c>
      <c r="H117">
        <v>290</v>
      </c>
      <c r="I117">
        <v>49500</v>
      </c>
      <c r="J117">
        <v>23343</v>
      </c>
      <c r="K117">
        <v>160</v>
      </c>
      <c r="L117" s="1" t="s">
        <v>26</v>
      </c>
      <c r="M117" s="1" t="s">
        <v>13</v>
      </c>
      <c r="N117" s="1" t="s">
        <v>23</v>
      </c>
      <c r="O117">
        <v>1472</v>
      </c>
      <c r="P117">
        <v>296</v>
      </c>
      <c r="Q117">
        <v>7810</v>
      </c>
      <c r="R117" s="33">
        <f>(Posts[[#This Row],[Likes]]+Posts[[#This Row],[Comments]]+Posts[[#This Row],[Shares]])/Posts[[#This Row],[Impressions]]*100</f>
        <v>5.0121212121212118</v>
      </c>
      <c r="S117">
        <v>254</v>
      </c>
      <c r="T117">
        <f>Posts[[#This Row],[New_Followers]]-Posts[[#This Row],[Unfollows]]</f>
        <v>1176</v>
      </c>
      <c r="U117" s="32">
        <f>Posts[[#This Row],[Engagement Rate]]/Posts[[#This Row],[Ad_Spend]]</f>
        <v>6.4175687735226782E-4</v>
      </c>
    </row>
    <row r="118" spans="1:21" x14ac:dyDescent="0.25">
      <c r="A118" s="1" t="s">
        <v>177</v>
      </c>
      <c r="B118" s="1" t="s">
        <v>12</v>
      </c>
      <c r="C118" s="2">
        <v>45513</v>
      </c>
      <c r="D118" s="1" t="s">
        <v>48</v>
      </c>
      <c r="E118" t="s">
        <v>439</v>
      </c>
      <c r="F118">
        <v>3414</v>
      </c>
      <c r="G118">
        <v>154</v>
      </c>
      <c r="H118">
        <v>204</v>
      </c>
      <c r="I118">
        <v>34146</v>
      </c>
      <c r="J118">
        <v>44633</v>
      </c>
      <c r="K118">
        <v>256</v>
      </c>
      <c r="L118" s="1" t="s">
        <v>26</v>
      </c>
      <c r="M118" s="1" t="s">
        <v>22</v>
      </c>
      <c r="N118" s="1" t="s">
        <v>9</v>
      </c>
      <c r="O118">
        <v>1472</v>
      </c>
      <c r="P118">
        <v>296</v>
      </c>
      <c r="Q118">
        <v>7810</v>
      </c>
      <c r="R118" s="33">
        <f>(Posts[[#This Row],[Likes]]+Posts[[#This Row],[Comments]]+Posts[[#This Row],[Shares]])/Posts[[#This Row],[Impressions]]*100</f>
        <v>11.046681895390382</v>
      </c>
      <c r="S118">
        <v>81</v>
      </c>
      <c r="T118">
        <f>Posts[[#This Row],[New_Followers]]-Posts[[#This Row],[Unfollows]]</f>
        <v>1176</v>
      </c>
      <c r="U118" s="32">
        <f>Posts[[#This Row],[Engagement Rate]]/Posts[[#This Row],[Ad_Spend]]</f>
        <v>1.414427899537821E-3</v>
      </c>
    </row>
    <row r="119" spans="1:21" x14ac:dyDescent="0.25">
      <c r="A119" s="1" t="s">
        <v>178</v>
      </c>
      <c r="B119" s="1" t="s">
        <v>17</v>
      </c>
      <c r="C119" s="2">
        <v>45513</v>
      </c>
      <c r="D119" s="1" t="s">
        <v>51</v>
      </c>
      <c r="E119" t="s">
        <v>439</v>
      </c>
      <c r="F119">
        <v>4877</v>
      </c>
      <c r="G119">
        <v>442</v>
      </c>
      <c r="H119">
        <v>236</v>
      </c>
      <c r="I119">
        <v>52673</v>
      </c>
      <c r="J119">
        <v>48241</v>
      </c>
      <c r="K119">
        <v>114</v>
      </c>
      <c r="L119" s="1" t="s">
        <v>26</v>
      </c>
      <c r="M119" s="1" t="s">
        <v>14</v>
      </c>
      <c r="N119" s="1" t="s">
        <v>19</v>
      </c>
      <c r="O119">
        <v>995</v>
      </c>
      <c r="P119">
        <v>86</v>
      </c>
      <c r="Q119">
        <v>22788</v>
      </c>
      <c r="R119" s="33">
        <f>(Posts[[#This Row],[Likes]]+Posts[[#This Row],[Comments]]+Posts[[#This Row],[Shares]])/Posts[[#This Row],[Impressions]]*100</f>
        <v>10.546200140489436</v>
      </c>
      <c r="S119">
        <v>98</v>
      </c>
      <c r="T119">
        <f>Posts[[#This Row],[New_Followers]]-Posts[[#This Row],[Unfollows]]</f>
        <v>909</v>
      </c>
      <c r="U119" s="32">
        <f>Posts[[#This Row],[Engagement Rate]]/Posts[[#This Row],[Ad_Spend]]</f>
        <v>4.6279621469586782E-4</v>
      </c>
    </row>
    <row r="120" spans="1:21" x14ac:dyDescent="0.25">
      <c r="A120" s="1" t="s">
        <v>179</v>
      </c>
      <c r="B120" s="1" t="s">
        <v>12</v>
      </c>
      <c r="C120" s="2">
        <v>45514</v>
      </c>
      <c r="D120" s="1" t="s">
        <v>54</v>
      </c>
      <c r="E120" t="s">
        <v>439</v>
      </c>
      <c r="F120">
        <v>1105</v>
      </c>
      <c r="G120">
        <v>181</v>
      </c>
      <c r="H120">
        <v>55</v>
      </c>
      <c r="I120">
        <v>53581</v>
      </c>
      <c r="J120">
        <v>74048</v>
      </c>
      <c r="K120">
        <v>220</v>
      </c>
      <c r="L120" s="1" t="s">
        <v>26</v>
      </c>
      <c r="M120" s="1" t="s">
        <v>13</v>
      </c>
      <c r="N120" s="1" t="s">
        <v>23</v>
      </c>
      <c r="O120">
        <v>1472</v>
      </c>
      <c r="P120">
        <v>296</v>
      </c>
      <c r="Q120">
        <v>7810</v>
      </c>
      <c r="R120" s="33">
        <f>(Posts[[#This Row],[Likes]]+Posts[[#This Row],[Comments]]+Posts[[#This Row],[Shares]])/Posts[[#This Row],[Impressions]]*100</f>
        <v>2.5027528414923199</v>
      </c>
      <c r="S120">
        <v>300</v>
      </c>
      <c r="T120">
        <f>Posts[[#This Row],[New_Followers]]-Posts[[#This Row],[Unfollows]]</f>
        <v>1176</v>
      </c>
      <c r="U120" s="32">
        <f>Posts[[#This Row],[Engagement Rate]]/Posts[[#This Row],[Ad_Spend]]</f>
        <v>3.2045490928198718E-4</v>
      </c>
    </row>
    <row r="121" spans="1:21" x14ac:dyDescent="0.25">
      <c r="A121" s="1" t="s">
        <v>180</v>
      </c>
      <c r="B121" s="1" t="s">
        <v>11</v>
      </c>
      <c r="C121" s="2">
        <v>45516</v>
      </c>
      <c r="D121" s="1" t="s">
        <v>51</v>
      </c>
      <c r="E121" t="s">
        <v>69</v>
      </c>
      <c r="F121">
        <v>2962</v>
      </c>
      <c r="G121">
        <v>400</v>
      </c>
      <c r="H121">
        <v>280</v>
      </c>
      <c r="I121">
        <v>52508</v>
      </c>
      <c r="J121">
        <v>58329</v>
      </c>
      <c r="K121">
        <v>219</v>
      </c>
      <c r="L121" s="1" t="s">
        <v>18</v>
      </c>
      <c r="M121" s="1" t="s">
        <v>57</v>
      </c>
      <c r="N121" s="1" t="s">
        <v>15</v>
      </c>
      <c r="O121">
        <v>1402</v>
      </c>
      <c r="P121">
        <v>68</v>
      </c>
      <c r="Q121">
        <v>23125</v>
      </c>
      <c r="R121" s="33">
        <f>(Posts[[#This Row],[Likes]]+Posts[[#This Row],[Comments]]+Posts[[#This Row],[Shares]])/Posts[[#This Row],[Impressions]]*100</f>
        <v>6.9360859297630837</v>
      </c>
      <c r="S121">
        <v>204</v>
      </c>
      <c r="T121">
        <f>Posts[[#This Row],[New_Followers]]-Posts[[#This Row],[Unfollows]]</f>
        <v>1334</v>
      </c>
      <c r="U121" s="32">
        <f>Posts[[#This Row],[Engagement Rate]]/Posts[[#This Row],[Ad_Spend]]</f>
        <v>2.9993885101678197E-4</v>
      </c>
    </row>
    <row r="122" spans="1:21" x14ac:dyDescent="0.25">
      <c r="A122" s="1" t="s">
        <v>181</v>
      </c>
      <c r="B122" s="1" t="s">
        <v>17</v>
      </c>
      <c r="C122" s="2">
        <v>45516</v>
      </c>
      <c r="D122" s="1" t="s">
        <v>51</v>
      </c>
      <c r="E122" t="s">
        <v>436</v>
      </c>
      <c r="F122">
        <v>2842</v>
      </c>
      <c r="G122">
        <v>213</v>
      </c>
      <c r="H122">
        <v>331</v>
      </c>
      <c r="I122">
        <v>57660</v>
      </c>
      <c r="J122">
        <v>68606</v>
      </c>
      <c r="K122">
        <v>87</v>
      </c>
      <c r="L122" s="1" t="s">
        <v>14</v>
      </c>
      <c r="M122" s="1" t="s">
        <v>18</v>
      </c>
      <c r="N122" s="1" t="s">
        <v>19</v>
      </c>
      <c r="O122">
        <v>995</v>
      </c>
      <c r="P122">
        <v>86</v>
      </c>
      <c r="Q122">
        <v>22788</v>
      </c>
      <c r="R122" s="33">
        <f>(Posts[[#This Row],[Likes]]+Posts[[#This Row],[Comments]]+Posts[[#This Row],[Shares]])/Posts[[#This Row],[Impressions]]*100</f>
        <v>5.8723551855705862</v>
      </c>
      <c r="S122">
        <v>228</v>
      </c>
      <c r="T122">
        <f>Posts[[#This Row],[New_Followers]]-Posts[[#This Row],[Unfollows]]</f>
        <v>909</v>
      </c>
      <c r="U122" s="32">
        <f>Posts[[#This Row],[Engagement Rate]]/Posts[[#This Row],[Ad_Spend]]</f>
        <v>2.5769506694622548E-4</v>
      </c>
    </row>
    <row r="123" spans="1:21" x14ac:dyDescent="0.25">
      <c r="A123" s="1" t="s">
        <v>182</v>
      </c>
      <c r="B123" s="1" t="s">
        <v>17</v>
      </c>
      <c r="C123" s="2">
        <v>45517</v>
      </c>
      <c r="D123" s="1" t="s">
        <v>54</v>
      </c>
      <c r="E123" t="s">
        <v>49</v>
      </c>
      <c r="F123">
        <v>3418</v>
      </c>
      <c r="G123">
        <v>107</v>
      </c>
      <c r="H123">
        <v>221</v>
      </c>
      <c r="I123">
        <v>23927</v>
      </c>
      <c r="J123">
        <v>26182</v>
      </c>
      <c r="K123">
        <v>155</v>
      </c>
      <c r="L123" s="1" t="s">
        <v>22</v>
      </c>
      <c r="M123" s="1" t="s">
        <v>57</v>
      </c>
      <c r="N123" s="1" t="s">
        <v>23</v>
      </c>
      <c r="O123">
        <v>995</v>
      </c>
      <c r="P123">
        <v>86</v>
      </c>
      <c r="Q123">
        <v>22788</v>
      </c>
      <c r="R123" s="33">
        <f>(Posts[[#This Row],[Likes]]+Posts[[#This Row],[Comments]]+Posts[[#This Row],[Shares]])/Posts[[#This Row],[Impressions]]*100</f>
        <v>15.65595352530614</v>
      </c>
      <c r="S123">
        <v>31</v>
      </c>
      <c r="T123">
        <f>Posts[[#This Row],[New_Followers]]-Posts[[#This Row],[Unfollows]]</f>
        <v>909</v>
      </c>
      <c r="U123" s="32">
        <f>Posts[[#This Row],[Engagement Rate]]/Posts[[#This Row],[Ad_Spend]]</f>
        <v>6.8702622105082237E-4</v>
      </c>
    </row>
    <row r="124" spans="1:21" x14ac:dyDescent="0.25">
      <c r="A124" s="1" t="s">
        <v>183</v>
      </c>
      <c r="B124" s="1" t="s">
        <v>11</v>
      </c>
      <c r="C124" s="2">
        <v>45522</v>
      </c>
      <c r="D124" s="1" t="s">
        <v>54</v>
      </c>
      <c r="E124" t="s">
        <v>49</v>
      </c>
      <c r="F124">
        <v>2965</v>
      </c>
      <c r="G124">
        <v>328</v>
      </c>
      <c r="H124">
        <v>171</v>
      </c>
      <c r="I124">
        <v>57685</v>
      </c>
      <c r="J124">
        <v>67536</v>
      </c>
      <c r="K124">
        <v>264</v>
      </c>
      <c r="L124" s="1" t="s">
        <v>22</v>
      </c>
      <c r="M124" s="1" t="s">
        <v>18</v>
      </c>
      <c r="N124" s="1" t="s">
        <v>19</v>
      </c>
      <c r="O124">
        <v>1402</v>
      </c>
      <c r="P124">
        <v>68</v>
      </c>
      <c r="Q124">
        <v>23125</v>
      </c>
      <c r="R124" s="33">
        <f>(Posts[[#This Row],[Likes]]+Posts[[#This Row],[Comments]]+Posts[[#This Row],[Shares]])/Posts[[#This Row],[Impressions]]*100</f>
        <v>6.005027303458438</v>
      </c>
      <c r="S124">
        <v>223</v>
      </c>
      <c r="T124">
        <f>Posts[[#This Row],[New_Followers]]-Posts[[#This Row],[Unfollows]]</f>
        <v>1334</v>
      </c>
      <c r="U124" s="32">
        <f>Posts[[#This Row],[Engagement Rate]]/Posts[[#This Row],[Ad_Spend]]</f>
        <v>2.5967685636577031E-4</v>
      </c>
    </row>
    <row r="125" spans="1:21" x14ac:dyDescent="0.25">
      <c r="A125" s="1" t="s">
        <v>184</v>
      </c>
      <c r="B125" s="1" t="s">
        <v>17</v>
      </c>
      <c r="C125" s="2">
        <v>45525</v>
      </c>
      <c r="D125" s="1" t="s">
        <v>51</v>
      </c>
      <c r="E125" t="s">
        <v>49</v>
      </c>
      <c r="F125">
        <v>3989</v>
      </c>
      <c r="G125">
        <v>476</v>
      </c>
      <c r="H125">
        <v>128</v>
      </c>
      <c r="I125">
        <v>57569</v>
      </c>
      <c r="J125">
        <v>40193</v>
      </c>
      <c r="K125">
        <v>222</v>
      </c>
      <c r="L125" s="1" t="s">
        <v>26</v>
      </c>
      <c r="M125" s="1" t="s">
        <v>14</v>
      </c>
      <c r="N125" s="1" t="s">
        <v>19</v>
      </c>
      <c r="O125">
        <v>995</v>
      </c>
      <c r="P125">
        <v>86</v>
      </c>
      <c r="Q125">
        <v>22788</v>
      </c>
      <c r="R125" s="33">
        <f>(Posts[[#This Row],[Likes]]+Posts[[#This Row],[Comments]]+Posts[[#This Row],[Shares]])/Posts[[#This Row],[Impressions]]*100</f>
        <v>7.9782521843353189</v>
      </c>
      <c r="S125">
        <v>180</v>
      </c>
      <c r="T125">
        <f>Posts[[#This Row],[New_Followers]]-Posts[[#This Row],[Unfollows]]</f>
        <v>909</v>
      </c>
      <c r="U125" s="32">
        <f>Posts[[#This Row],[Engagement Rate]]/Posts[[#This Row],[Ad_Spend]]</f>
        <v>3.5010760858062659E-4</v>
      </c>
    </row>
    <row r="126" spans="1:21" x14ac:dyDescent="0.25">
      <c r="A126" s="1" t="s">
        <v>185</v>
      </c>
      <c r="B126" s="1" t="s">
        <v>11</v>
      </c>
      <c r="C126" s="2">
        <v>45530</v>
      </c>
      <c r="D126" s="1" t="s">
        <v>54</v>
      </c>
      <c r="E126" t="s">
        <v>74</v>
      </c>
      <c r="F126">
        <v>2102</v>
      </c>
      <c r="G126">
        <v>181</v>
      </c>
      <c r="H126">
        <v>306</v>
      </c>
      <c r="I126">
        <v>43650</v>
      </c>
      <c r="J126">
        <v>50079</v>
      </c>
      <c r="K126">
        <v>182</v>
      </c>
      <c r="L126" s="1" t="s">
        <v>26</v>
      </c>
      <c r="M126" s="1" t="s">
        <v>57</v>
      </c>
      <c r="N126" s="1" t="s">
        <v>23</v>
      </c>
      <c r="O126">
        <v>1402</v>
      </c>
      <c r="P126">
        <v>68</v>
      </c>
      <c r="Q126">
        <v>23125</v>
      </c>
      <c r="R126" s="33">
        <f>(Posts[[#This Row],[Likes]]+Posts[[#This Row],[Comments]]+Posts[[#This Row],[Shares]])/Posts[[#This Row],[Impressions]]*100</f>
        <v>5.9312714776632305</v>
      </c>
      <c r="S126">
        <v>226</v>
      </c>
      <c r="T126">
        <f>Posts[[#This Row],[New_Followers]]-Posts[[#This Row],[Unfollows]]</f>
        <v>1334</v>
      </c>
      <c r="U126" s="32">
        <f>Posts[[#This Row],[Engagement Rate]]/Posts[[#This Row],[Ad_Spend]]</f>
        <v>2.5648741525030188E-4</v>
      </c>
    </row>
    <row r="127" spans="1:21" x14ac:dyDescent="0.25">
      <c r="A127" s="1" t="s">
        <v>186</v>
      </c>
      <c r="B127" s="1" t="s">
        <v>11</v>
      </c>
      <c r="C127" s="2">
        <v>45531</v>
      </c>
      <c r="D127" s="1" t="s">
        <v>54</v>
      </c>
      <c r="E127" t="s">
        <v>438</v>
      </c>
      <c r="F127">
        <v>4197</v>
      </c>
      <c r="G127">
        <v>359</v>
      </c>
      <c r="H127">
        <v>280</v>
      </c>
      <c r="I127">
        <v>56048</v>
      </c>
      <c r="J127">
        <v>70930</v>
      </c>
      <c r="K127">
        <v>295</v>
      </c>
      <c r="L127" s="1" t="s">
        <v>26</v>
      </c>
      <c r="M127" s="1" t="s">
        <v>57</v>
      </c>
      <c r="N127" s="1" t="s">
        <v>23</v>
      </c>
      <c r="O127">
        <v>1402</v>
      </c>
      <c r="P127">
        <v>68</v>
      </c>
      <c r="Q127">
        <v>23125</v>
      </c>
      <c r="R127" s="33">
        <f>(Posts[[#This Row],[Likes]]+Posts[[#This Row],[Comments]]+Posts[[#This Row],[Shares]])/Posts[[#This Row],[Impressions]]*100</f>
        <v>8.6283185840707954</v>
      </c>
      <c r="S127">
        <v>151</v>
      </c>
      <c r="T127">
        <f>Posts[[#This Row],[New_Followers]]-Posts[[#This Row],[Unfollows]]</f>
        <v>1334</v>
      </c>
      <c r="U127" s="32">
        <f>Posts[[#This Row],[Engagement Rate]]/Posts[[#This Row],[Ad_Spend]]</f>
        <v>3.7311647931116953E-4</v>
      </c>
    </row>
    <row r="128" spans="1:21" x14ac:dyDescent="0.25">
      <c r="A128" s="1" t="s">
        <v>187</v>
      </c>
      <c r="B128" s="1" t="s">
        <v>17</v>
      </c>
      <c r="C128" s="2">
        <v>45531</v>
      </c>
      <c r="D128" s="1" t="s">
        <v>51</v>
      </c>
      <c r="E128" t="s">
        <v>435</v>
      </c>
      <c r="F128">
        <v>1856</v>
      </c>
      <c r="G128">
        <v>357</v>
      </c>
      <c r="H128">
        <v>348</v>
      </c>
      <c r="I128">
        <v>29428</v>
      </c>
      <c r="J128">
        <v>70206</v>
      </c>
      <c r="K128">
        <v>236</v>
      </c>
      <c r="L128" s="1" t="s">
        <v>14</v>
      </c>
      <c r="M128" s="1" t="s">
        <v>18</v>
      </c>
      <c r="N128" s="1" t="s">
        <v>19</v>
      </c>
      <c r="O128">
        <v>995</v>
      </c>
      <c r="P128">
        <v>86</v>
      </c>
      <c r="Q128">
        <v>22788</v>
      </c>
      <c r="R128" s="33">
        <f>(Posts[[#This Row],[Likes]]+Posts[[#This Row],[Comments]]+Posts[[#This Row],[Shares]])/Posts[[#This Row],[Impressions]]*100</f>
        <v>8.7025961669158622</v>
      </c>
      <c r="S128">
        <v>146</v>
      </c>
      <c r="T128">
        <f>Posts[[#This Row],[New_Followers]]-Posts[[#This Row],[Unfollows]]</f>
        <v>909</v>
      </c>
      <c r="U128" s="32">
        <f>Posts[[#This Row],[Engagement Rate]]/Posts[[#This Row],[Ad_Spend]]</f>
        <v>3.8189381108108929E-4</v>
      </c>
    </row>
    <row r="129" spans="1:21" x14ac:dyDescent="0.25">
      <c r="A129" s="1" t="s">
        <v>188</v>
      </c>
      <c r="B129" s="1" t="s">
        <v>12</v>
      </c>
      <c r="C129" s="2">
        <v>45533</v>
      </c>
      <c r="D129" s="1" t="s">
        <v>54</v>
      </c>
      <c r="E129" t="s">
        <v>437</v>
      </c>
      <c r="F129">
        <v>4774</v>
      </c>
      <c r="G129">
        <v>389</v>
      </c>
      <c r="H129">
        <v>358</v>
      </c>
      <c r="I129">
        <v>52346</v>
      </c>
      <c r="J129">
        <v>30518</v>
      </c>
      <c r="K129">
        <v>277</v>
      </c>
      <c r="L129" s="1" t="s">
        <v>26</v>
      </c>
      <c r="M129" s="1" t="s">
        <v>13</v>
      </c>
      <c r="N129" s="1" t="s">
        <v>23</v>
      </c>
      <c r="O129">
        <v>1472</v>
      </c>
      <c r="P129">
        <v>296</v>
      </c>
      <c r="Q129">
        <v>7810</v>
      </c>
      <c r="R129" s="33">
        <f>(Posts[[#This Row],[Likes]]+Posts[[#This Row],[Comments]]+Posts[[#This Row],[Shares]])/Posts[[#This Row],[Impressions]]*100</f>
        <v>10.547128720437092</v>
      </c>
      <c r="S129">
        <v>97</v>
      </c>
      <c r="T129">
        <f>Posts[[#This Row],[New_Followers]]-Posts[[#This Row],[Unfollows]]</f>
        <v>1176</v>
      </c>
      <c r="U129" s="32">
        <f>Posts[[#This Row],[Engagement Rate]]/Posts[[#This Row],[Ad_Spend]]</f>
        <v>1.3504646248959145E-3</v>
      </c>
    </row>
    <row r="130" spans="1:21" x14ac:dyDescent="0.25">
      <c r="A130" s="1" t="s">
        <v>189</v>
      </c>
      <c r="B130" s="1" t="s">
        <v>17</v>
      </c>
      <c r="C130" s="2">
        <v>45533</v>
      </c>
      <c r="D130" s="1" t="s">
        <v>51</v>
      </c>
      <c r="E130" t="s">
        <v>89</v>
      </c>
      <c r="F130">
        <v>4276</v>
      </c>
      <c r="G130">
        <v>227</v>
      </c>
      <c r="H130">
        <v>223</v>
      </c>
      <c r="I130">
        <v>43443</v>
      </c>
      <c r="J130">
        <v>41005</v>
      </c>
      <c r="K130">
        <v>191</v>
      </c>
      <c r="L130" s="1" t="s">
        <v>26</v>
      </c>
      <c r="M130" s="1" t="s">
        <v>14</v>
      </c>
      <c r="N130" s="1" t="s">
        <v>19</v>
      </c>
      <c r="O130">
        <v>995</v>
      </c>
      <c r="P130">
        <v>86</v>
      </c>
      <c r="Q130">
        <v>22788</v>
      </c>
      <c r="R130" s="33">
        <f>(Posts[[#This Row],[Likes]]+Posts[[#This Row],[Comments]]+Posts[[#This Row],[Shares]])/Posts[[#This Row],[Impressions]]*100</f>
        <v>10.87862256289851</v>
      </c>
      <c r="S130">
        <v>86</v>
      </c>
      <c r="T130">
        <f>Posts[[#This Row],[New_Followers]]-Posts[[#This Row],[Unfollows]]</f>
        <v>909</v>
      </c>
      <c r="U130" s="32">
        <f>Posts[[#This Row],[Engagement Rate]]/Posts[[#This Row],[Ad_Spend]]</f>
        <v>4.773838231919655E-4</v>
      </c>
    </row>
    <row r="131" spans="1:21" x14ac:dyDescent="0.25">
      <c r="A131" s="1" t="s">
        <v>190</v>
      </c>
      <c r="B131" s="1" t="s">
        <v>11</v>
      </c>
      <c r="C131" s="2">
        <v>45536</v>
      </c>
      <c r="D131" s="1" t="s">
        <v>51</v>
      </c>
      <c r="E131" t="s">
        <v>437</v>
      </c>
      <c r="F131">
        <v>2335</v>
      </c>
      <c r="G131">
        <v>150</v>
      </c>
      <c r="H131">
        <v>75</v>
      </c>
      <c r="I131">
        <v>26114</v>
      </c>
      <c r="J131">
        <v>57549</v>
      </c>
      <c r="K131">
        <v>135</v>
      </c>
      <c r="L131" s="1" t="s">
        <v>18</v>
      </c>
      <c r="M131" s="1" t="s">
        <v>57</v>
      </c>
      <c r="N131" s="1" t="s">
        <v>15</v>
      </c>
      <c r="O131">
        <v>1402</v>
      </c>
      <c r="P131">
        <v>68</v>
      </c>
      <c r="Q131">
        <v>23125</v>
      </c>
      <c r="R131" s="33">
        <f>(Posts[[#This Row],[Likes]]+Posts[[#This Row],[Comments]]+Posts[[#This Row],[Shares]])/Posts[[#This Row],[Impressions]]*100</f>
        <v>9.8031707130274945</v>
      </c>
      <c r="S131">
        <v>114</v>
      </c>
      <c r="T131">
        <f>Posts[[#This Row],[New_Followers]]-Posts[[#This Row],[Unfollows]]</f>
        <v>1334</v>
      </c>
      <c r="U131" s="32">
        <f>Posts[[#This Row],[Engagement Rate]]/Posts[[#This Row],[Ad_Spend]]</f>
        <v>4.2392089569848624E-4</v>
      </c>
    </row>
    <row r="132" spans="1:21" x14ac:dyDescent="0.25">
      <c r="A132" s="1" t="s">
        <v>191</v>
      </c>
      <c r="B132" s="1" t="s">
        <v>12</v>
      </c>
      <c r="C132" s="2">
        <v>45538</v>
      </c>
      <c r="D132" s="1" t="s">
        <v>48</v>
      </c>
      <c r="E132" t="s">
        <v>436</v>
      </c>
      <c r="F132">
        <v>1437</v>
      </c>
      <c r="G132">
        <v>494</v>
      </c>
      <c r="H132">
        <v>129</v>
      </c>
      <c r="I132">
        <v>53048</v>
      </c>
      <c r="J132">
        <v>44090</v>
      </c>
      <c r="K132">
        <v>230</v>
      </c>
      <c r="L132" s="1" t="s">
        <v>26</v>
      </c>
      <c r="M132" s="1" t="s">
        <v>22</v>
      </c>
      <c r="N132" s="1" t="s">
        <v>9</v>
      </c>
      <c r="O132">
        <v>1472</v>
      </c>
      <c r="P132">
        <v>296</v>
      </c>
      <c r="Q132">
        <v>7810</v>
      </c>
      <c r="R132" s="33">
        <f>(Posts[[#This Row],[Likes]]+Posts[[#This Row],[Comments]]+Posts[[#This Row],[Shares]])/Posts[[#This Row],[Impressions]]*100</f>
        <v>3.8832755240536874</v>
      </c>
      <c r="S132">
        <v>281</v>
      </c>
      <c r="T132">
        <f>Posts[[#This Row],[New_Followers]]-Posts[[#This Row],[Unfollows]]</f>
        <v>1176</v>
      </c>
      <c r="U132" s="32">
        <f>Posts[[#This Row],[Engagement Rate]]/Posts[[#This Row],[Ad_Spend]]</f>
        <v>4.97218376959499E-4</v>
      </c>
    </row>
    <row r="133" spans="1:21" x14ac:dyDescent="0.25">
      <c r="A133" s="1" t="s">
        <v>192</v>
      </c>
      <c r="B133" s="1" t="s">
        <v>17</v>
      </c>
      <c r="C133" s="2">
        <v>45539</v>
      </c>
      <c r="D133" s="1" t="s">
        <v>51</v>
      </c>
      <c r="E133" t="s">
        <v>438</v>
      </c>
      <c r="F133">
        <v>2613</v>
      </c>
      <c r="G133">
        <v>455</v>
      </c>
      <c r="H133">
        <v>228</v>
      </c>
      <c r="I133">
        <v>21645</v>
      </c>
      <c r="J133">
        <v>61334</v>
      </c>
      <c r="K133">
        <v>261</v>
      </c>
      <c r="L133" s="1" t="s">
        <v>26</v>
      </c>
      <c r="M133" s="1" t="s">
        <v>14</v>
      </c>
      <c r="N133" s="1" t="s">
        <v>19</v>
      </c>
      <c r="O133">
        <v>995</v>
      </c>
      <c r="P133">
        <v>86</v>
      </c>
      <c r="Q133">
        <v>22788</v>
      </c>
      <c r="R133" s="33">
        <f>(Posts[[#This Row],[Likes]]+Posts[[#This Row],[Comments]]+Posts[[#This Row],[Shares]])/Posts[[#This Row],[Impressions]]*100</f>
        <v>15.227535227535228</v>
      </c>
      <c r="S133">
        <v>36</v>
      </c>
      <c r="T133">
        <f>Posts[[#This Row],[New_Followers]]-Posts[[#This Row],[Unfollows]]</f>
        <v>909</v>
      </c>
      <c r="U133" s="32">
        <f>Posts[[#This Row],[Engagement Rate]]/Posts[[#This Row],[Ad_Spend]]</f>
        <v>6.6822605000593414E-4</v>
      </c>
    </row>
    <row r="134" spans="1:21" x14ac:dyDescent="0.25">
      <c r="A134" s="1" t="s">
        <v>193</v>
      </c>
      <c r="B134" s="1" t="s">
        <v>11</v>
      </c>
      <c r="C134" s="2">
        <v>45541</v>
      </c>
      <c r="D134" s="1" t="s">
        <v>54</v>
      </c>
      <c r="E134" t="s">
        <v>438</v>
      </c>
      <c r="F134">
        <v>1452</v>
      </c>
      <c r="G134">
        <v>281</v>
      </c>
      <c r="H134">
        <v>326</v>
      </c>
      <c r="I134">
        <v>51556</v>
      </c>
      <c r="J134">
        <v>62599</v>
      </c>
      <c r="K134">
        <v>290</v>
      </c>
      <c r="L134" s="1" t="s">
        <v>26</v>
      </c>
      <c r="M134" s="1" t="s">
        <v>57</v>
      </c>
      <c r="N134" s="1" t="s">
        <v>23</v>
      </c>
      <c r="O134">
        <v>1402</v>
      </c>
      <c r="P134">
        <v>68</v>
      </c>
      <c r="Q134">
        <v>23125</v>
      </c>
      <c r="R134" s="33">
        <f>(Posts[[#This Row],[Likes]]+Posts[[#This Row],[Comments]]+Posts[[#This Row],[Shares]])/Posts[[#This Row],[Impressions]]*100</f>
        <v>3.9937155714174879</v>
      </c>
      <c r="S134">
        <v>276</v>
      </c>
      <c r="T134">
        <f>Posts[[#This Row],[New_Followers]]-Posts[[#This Row],[Unfollows]]</f>
        <v>1334</v>
      </c>
      <c r="U134" s="32">
        <f>Posts[[#This Row],[Engagement Rate]]/Posts[[#This Row],[Ad_Spend]]</f>
        <v>1.7270121389913461E-4</v>
      </c>
    </row>
    <row r="135" spans="1:21" x14ac:dyDescent="0.25">
      <c r="A135" s="1" t="s">
        <v>194</v>
      </c>
      <c r="B135" s="1" t="s">
        <v>12</v>
      </c>
      <c r="C135" s="2">
        <v>45542</v>
      </c>
      <c r="D135" s="1" t="s">
        <v>48</v>
      </c>
      <c r="E135" t="s">
        <v>435</v>
      </c>
      <c r="F135">
        <v>3882</v>
      </c>
      <c r="G135">
        <v>342</v>
      </c>
      <c r="H135">
        <v>374</v>
      </c>
      <c r="I135">
        <v>41991</v>
      </c>
      <c r="J135">
        <v>48554</v>
      </c>
      <c r="K135">
        <v>118</v>
      </c>
      <c r="L135" s="1" t="s">
        <v>26</v>
      </c>
      <c r="M135" s="1" t="s">
        <v>22</v>
      </c>
      <c r="N135" s="1" t="s">
        <v>9</v>
      </c>
      <c r="O135">
        <v>1472</v>
      </c>
      <c r="P135">
        <v>296</v>
      </c>
      <c r="Q135">
        <v>7810</v>
      </c>
      <c r="R135" s="33">
        <f>(Posts[[#This Row],[Likes]]+Posts[[#This Row],[Comments]]+Posts[[#This Row],[Shares]])/Posts[[#This Row],[Impressions]]*100</f>
        <v>10.949965468790932</v>
      </c>
      <c r="S135">
        <v>85</v>
      </c>
      <c r="T135">
        <f>Posts[[#This Row],[New_Followers]]-Posts[[#This Row],[Unfollows]]</f>
        <v>1176</v>
      </c>
      <c r="U135" s="32">
        <f>Posts[[#This Row],[Engagement Rate]]/Posts[[#This Row],[Ad_Spend]]</f>
        <v>1.4020442341601705E-3</v>
      </c>
    </row>
    <row r="136" spans="1:21" x14ac:dyDescent="0.25">
      <c r="A136" s="1" t="s">
        <v>195</v>
      </c>
      <c r="B136" s="1" t="s">
        <v>12</v>
      </c>
      <c r="C136" s="2">
        <v>45542</v>
      </c>
      <c r="D136" s="1" t="s">
        <v>54</v>
      </c>
      <c r="E136" t="s">
        <v>74</v>
      </c>
      <c r="F136">
        <v>2101</v>
      </c>
      <c r="G136">
        <v>411</v>
      </c>
      <c r="H136">
        <v>190</v>
      </c>
      <c r="I136">
        <v>41791</v>
      </c>
      <c r="J136">
        <v>57090</v>
      </c>
      <c r="K136">
        <v>172</v>
      </c>
      <c r="L136" s="1" t="s">
        <v>26</v>
      </c>
      <c r="M136" s="1" t="s">
        <v>13</v>
      </c>
      <c r="N136" s="1" t="s">
        <v>23</v>
      </c>
      <c r="O136">
        <v>1472</v>
      </c>
      <c r="P136">
        <v>296</v>
      </c>
      <c r="Q136">
        <v>7810</v>
      </c>
      <c r="R136" s="33">
        <f>(Posts[[#This Row],[Likes]]+Posts[[#This Row],[Comments]]+Posts[[#This Row],[Shares]])/Posts[[#This Row],[Impressions]]*100</f>
        <v>6.4655069273288515</v>
      </c>
      <c r="S136">
        <v>212</v>
      </c>
      <c r="T136">
        <f>Posts[[#This Row],[New_Followers]]-Posts[[#This Row],[Unfollows]]</f>
        <v>1176</v>
      </c>
      <c r="U136" s="32">
        <f>Posts[[#This Row],[Engagement Rate]]/Posts[[#This Row],[Ad_Spend]]</f>
        <v>8.278497986336557E-4</v>
      </c>
    </row>
    <row r="137" spans="1:21" x14ac:dyDescent="0.25">
      <c r="A137" s="1" t="s">
        <v>196</v>
      </c>
      <c r="B137" s="1" t="s">
        <v>11</v>
      </c>
      <c r="C137" s="2">
        <v>45544</v>
      </c>
      <c r="D137" s="1" t="s">
        <v>54</v>
      </c>
      <c r="E137" t="s">
        <v>438</v>
      </c>
      <c r="F137">
        <v>1616</v>
      </c>
      <c r="G137">
        <v>360</v>
      </c>
      <c r="H137">
        <v>180</v>
      </c>
      <c r="I137">
        <v>54342</v>
      </c>
      <c r="J137">
        <v>18796</v>
      </c>
      <c r="K137">
        <v>282</v>
      </c>
      <c r="L137" s="1" t="s">
        <v>22</v>
      </c>
      <c r="M137" s="1" t="s">
        <v>18</v>
      </c>
      <c r="N137" s="1" t="s">
        <v>19</v>
      </c>
      <c r="O137">
        <v>1402</v>
      </c>
      <c r="P137">
        <v>68</v>
      </c>
      <c r="Q137">
        <v>23125</v>
      </c>
      <c r="R137" s="33">
        <f>(Posts[[#This Row],[Likes]]+Posts[[#This Row],[Comments]]+Posts[[#This Row],[Shares]])/Posts[[#This Row],[Impressions]]*100</f>
        <v>3.967465312281476</v>
      </c>
      <c r="S137">
        <v>278</v>
      </c>
      <c r="T137">
        <f>Posts[[#This Row],[New_Followers]]-Posts[[#This Row],[Unfollows]]</f>
        <v>1334</v>
      </c>
      <c r="U137" s="32">
        <f>Posts[[#This Row],[Engagement Rate]]/Posts[[#This Row],[Ad_Spend]]</f>
        <v>1.7156606755811788E-4</v>
      </c>
    </row>
    <row r="138" spans="1:21" x14ac:dyDescent="0.25">
      <c r="A138" s="1" t="s">
        <v>197</v>
      </c>
      <c r="B138" s="1" t="s">
        <v>11</v>
      </c>
      <c r="C138" s="2">
        <v>45545</v>
      </c>
      <c r="D138" s="1" t="s">
        <v>51</v>
      </c>
      <c r="E138" t="s">
        <v>438</v>
      </c>
      <c r="F138">
        <v>1230</v>
      </c>
      <c r="G138">
        <v>309</v>
      </c>
      <c r="H138">
        <v>207</v>
      </c>
      <c r="I138">
        <v>44629</v>
      </c>
      <c r="J138">
        <v>40699</v>
      </c>
      <c r="K138">
        <v>195</v>
      </c>
      <c r="L138" s="1" t="s">
        <v>18</v>
      </c>
      <c r="M138" s="1" t="s">
        <v>57</v>
      </c>
      <c r="N138" s="1" t="s">
        <v>15</v>
      </c>
      <c r="O138">
        <v>1402</v>
      </c>
      <c r="P138">
        <v>68</v>
      </c>
      <c r="Q138">
        <v>23125</v>
      </c>
      <c r="R138" s="33">
        <f>(Posts[[#This Row],[Likes]]+Posts[[#This Row],[Comments]]+Posts[[#This Row],[Shares]])/Posts[[#This Row],[Impressions]]*100</f>
        <v>3.9122543637545095</v>
      </c>
      <c r="S138">
        <v>280</v>
      </c>
      <c r="T138">
        <f>Posts[[#This Row],[New_Followers]]-Posts[[#This Row],[Unfollows]]</f>
        <v>1334</v>
      </c>
      <c r="U138" s="32">
        <f>Posts[[#This Row],[Engagement Rate]]/Posts[[#This Row],[Ad_Spend]]</f>
        <v>1.6917856708127609E-4</v>
      </c>
    </row>
    <row r="139" spans="1:21" x14ac:dyDescent="0.25">
      <c r="A139" s="1" t="s">
        <v>198</v>
      </c>
      <c r="B139" s="1" t="s">
        <v>17</v>
      </c>
      <c r="C139" s="2">
        <v>45547</v>
      </c>
      <c r="D139" s="1" t="s">
        <v>51</v>
      </c>
      <c r="E139" t="s">
        <v>437</v>
      </c>
      <c r="F139">
        <v>1839</v>
      </c>
      <c r="G139">
        <v>223</v>
      </c>
      <c r="H139">
        <v>171</v>
      </c>
      <c r="I139">
        <v>35459</v>
      </c>
      <c r="J139">
        <v>69988</v>
      </c>
      <c r="K139">
        <v>114</v>
      </c>
      <c r="L139" s="1" t="s">
        <v>14</v>
      </c>
      <c r="M139" s="1" t="s">
        <v>18</v>
      </c>
      <c r="N139" s="1" t="s">
        <v>19</v>
      </c>
      <c r="O139">
        <v>995</v>
      </c>
      <c r="P139">
        <v>86</v>
      </c>
      <c r="Q139">
        <v>22788</v>
      </c>
      <c r="R139" s="33">
        <f>(Posts[[#This Row],[Likes]]+Posts[[#This Row],[Comments]]+Posts[[#This Row],[Shares]])/Posts[[#This Row],[Impressions]]*100</f>
        <v>6.2974139146620036</v>
      </c>
      <c r="S139">
        <v>216</v>
      </c>
      <c r="T139">
        <f>Posts[[#This Row],[New_Followers]]-Posts[[#This Row],[Unfollows]]</f>
        <v>909</v>
      </c>
      <c r="U139" s="32">
        <f>Posts[[#This Row],[Engagement Rate]]/Posts[[#This Row],[Ad_Spend]]</f>
        <v>2.7634781089441827E-4</v>
      </c>
    </row>
    <row r="140" spans="1:21" x14ac:dyDescent="0.25">
      <c r="A140" s="1" t="s">
        <v>199</v>
      </c>
      <c r="B140" s="1" t="s">
        <v>17</v>
      </c>
      <c r="C140" s="2">
        <v>45550</v>
      </c>
      <c r="D140" s="1" t="s">
        <v>54</v>
      </c>
      <c r="E140" t="s">
        <v>89</v>
      </c>
      <c r="F140">
        <v>2145</v>
      </c>
      <c r="G140">
        <v>340</v>
      </c>
      <c r="H140">
        <v>85</v>
      </c>
      <c r="I140">
        <v>53323</v>
      </c>
      <c r="J140">
        <v>49938</v>
      </c>
      <c r="K140">
        <v>104</v>
      </c>
      <c r="L140" s="1" t="s">
        <v>18</v>
      </c>
      <c r="M140" s="1" t="s">
        <v>57</v>
      </c>
      <c r="N140" s="1" t="s">
        <v>19</v>
      </c>
      <c r="O140">
        <v>995</v>
      </c>
      <c r="P140">
        <v>86</v>
      </c>
      <c r="Q140">
        <v>22788</v>
      </c>
      <c r="R140" s="33">
        <f>(Posts[[#This Row],[Likes]]+Posts[[#This Row],[Comments]]+Posts[[#This Row],[Shares]])/Posts[[#This Row],[Impressions]]*100</f>
        <v>4.8196838137389122</v>
      </c>
      <c r="S140">
        <v>258</v>
      </c>
      <c r="T140">
        <f>Posts[[#This Row],[New_Followers]]-Posts[[#This Row],[Unfollows]]</f>
        <v>909</v>
      </c>
      <c r="U140" s="32">
        <f>Posts[[#This Row],[Engagement Rate]]/Posts[[#This Row],[Ad_Spend]]</f>
        <v>2.1150095724674882E-4</v>
      </c>
    </row>
    <row r="141" spans="1:21" x14ac:dyDescent="0.25">
      <c r="A141" s="1" t="s">
        <v>200</v>
      </c>
      <c r="B141" s="1" t="s">
        <v>17</v>
      </c>
      <c r="C141" s="2">
        <v>45551</v>
      </c>
      <c r="D141" s="1" t="s">
        <v>51</v>
      </c>
      <c r="E141" t="s">
        <v>74</v>
      </c>
      <c r="F141">
        <v>4422</v>
      </c>
      <c r="G141">
        <v>434</v>
      </c>
      <c r="H141">
        <v>156</v>
      </c>
      <c r="I141">
        <v>56165</v>
      </c>
      <c r="J141">
        <v>52431</v>
      </c>
      <c r="K141">
        <v>173</v>
      </c>
      <c r="L141" s="1" t="s">
        <v>26</v>
      </c>
      <c r="M141" s="1" t="s">
        <v>14</v>
      </c>
      <c r="N141" s="1" t="s">
        <v>19</v>
      </c>
      <c r="O141">
        <v>995</v>
      </c>
      <c r="P141">
        <v>86</v>
      </c>
      <c r="Q141">
        <v>22788</v>
      </c>
      <c r="R141" s="33">
        <f>(Posts[[#This Row],[Likes]]+Posts[[#This Row],[Comments]]+Posts[[#This Row],[Shares]])/Posts[[#This Row],[Impressions]]*100</f>
        <v>8.9237069349238851</v>
      </c>
      <c r="S141">
        <v>139</v>
      </c>
      <c r="T141">
        <f>Posts[[#This Row],[New_Followers]]-Posts[[#This Row],[Unfollows]]</f>
        <v>909</v>
      </c>
      <c r="U141" s="32">
        <f>Posts[[#This Row],[Engagement Rate]]/Posts[[#This Row],[Ad_Spend]]</f>
        <v>3.9159675859767797E-4</v>
      </c>
    </row>
    <row r="142" spans="1:21" x14ac:dyDescent="0.25">
      <c r="A142" s="1" t="s">
        <v>201</v>
      </c>
      <c r="B142" s="1" t="s">
        <v>17</v>
      </c>
      <c r="C142" s="2">
        <v>45551</v>
      </c>
      <c r="D142" s="1" t="s">
        <v>51</v>
      </c>
      <c r="E142" t="s">
        <v>436</v>
      </c>
      <c r="F142">
        <v>3300</v>
      </c>
      <c r="G142">
        <v>354</v>
      </c>
      <c r="H142">
        <v>397</v>
      </c>
      <c r="I142">
        <v>56773</v>
      </c>
      <c r="J142">
        <v>72110</v>
      </c>
      <c r="K142">
        <v>163</v>
      </c>
      <c r="L142" s="1" t="s">
        <v>26</v>
      </c>
      <c r="M142" s="1" t="s">
        <v>14</v>
      </c>
      <c r="N142" s="1" t="s">
        <v>19</v>
      </c>
      <c r="O142">
        <v>995</v>
      </c>
      <c r="P142">
        <v>86</v>
      </c>
      <c r="Q142">
        <v>22788</v>
      </c>
      <c r="R142" s="33">
        <f>(Posts[[#This Row],[Likes]]+Posts[[#This Row],[Comments]]+Posts[[#This Row],[Shares]])/Posts[[#This Row],[Impressions]]*100</f>
        <v>7.1354340971940893</v>
      </c>
      <c r="S142">
        <v>197</v>
      </c>
      <c r="T142">
        <f>Posts[[#This Row],[New_Followers]]-Posts[[#This Row],[Unfollows]]</f>
        <v>909</v>
      </c>
      <c r="U142" s="32">
        <f>Posts[[#This Row],[Engagement Rate]]/Posts[[#This Row],[Ad_Spend]]</f>
        <v>3.1312243712454315E-4</v>
      </c>
    </row>
    <row r="143" spans="1:21" x14ac:dyDescent="0.25">
      <c r="A143" s="1" t="s">
        <v>202</v>
      </c>
      <c r="B143" s="1" t="s">
        <v>17</v>
      </c>
      <c r="C143" s="2">
        <v>45553</v>
      </c>
      <c r="D143" s="1" t="s">
        <v>54</v>
      </c>
      <c r="E143" t="s">
        <v>69</v>
      </c>
      <c r="F143">
        <v>2878</v>
      </c>
      <c r="G143">
        <v>265</v>
      </c>
      <c r="H143">
        <v>91</v>
      </c>
      <c r="I143">
        <v>52090</v>
      </c>
      <c r="J143">
        <v>28924</v>
      </c>
      <c r="K143">
        <v>133</v>
      </c>
      <c r="L143" s="1" t="s">
        <v>18</v>
      </c>
      <c r="M143" s="1" t="s">
        <v>57</v>
      </c>
      <c r="N143" s="1" t="s">
        <v>19</v>
      </c>
      <c r="O143">
        <v>995</v>
      </c>
      <c r="P143">
        <v>86</v>
      </c>
      <c r="Q143">
        <v>22788</v>
      </c>
      <c r="R143" s="33">
        <f>(Posts[[#This Row],[Likes]]+Posts[[#This Row],[Comments]]+Posts[[#This Row],[Shares]])/Posts[[#This Row],[Impressions]]*100</f>
        <v>6.2084853138798231</v>
      </c>
      <c r="S143">
        <v>218</v>
      </c>
      <c r="T143">
        <f>Posts[[#This Row],[New_Followers]]-Posts[[#This Row],[Unfollows]]</f>
        <v>909</v>
      </c>
      <c r="U143" s="32">
        <f>Posts[[#This Row],[Engagement Rate]]/Posts[[#This Row],[Ad_Spend]]</f>
        <v>2.7244537975600416E-4</v>
      </c>
    </row>
    <row r="144" spans="1:21" x14ac:dyDescent="0.25">
      <c r="A144" s="1" t="s">
        <v>203</v>
      </c>
      <c r="B144" s="1" t="s">
        <v>11</v>
      </c>
      <c r="C144" s="2">
        <v>45562</v>
      </c>
      <c r="D144" s="1" t="s">
        <v>54</v>
      </c>
      <c r="E144" t="s">
        <v>69</v>
      </c>
      <c r="F144">
        <v>3118</v>
      </c>
      <c r="G144">
        <v>116</v>
      </c>
      <c r="H144">
        <v>195</v>
      </c>
      <c r="I144">
        <v>37100</v>
      </c>
      <c r="J144">
        <v>62629</v>
      </c>
      <c r="K144">
        <v>272</v>
      </c>
      <c r="L144" s="1" t="s">
        <v>26</v>
      </c>
      <c r="M144" s="1" t="s">
        <v>57</v>
      </c>
      <c r="N144" s="1" t="s">
        <v>23</v>
      </c>
      <c r="O144">
        <v>1402</v>
      </c>
      <c r="P144">
        <v>68</v>
      </c>
      <c r="Q144">
        <v>23125</v>
      </c>
      <c r="R144" s="33">
        <f>(Posts[[#This Row],[Likes]]+Posts[[#This Row],[Comments]]+Posts[[#This Row],[Shares]])/Posts[[#This Row],[Impressions]]*100</f>
        <v>9.2425876010781671</v>
      </c>
      <c r="S144">
        <v>133</v>
      </c>
      <c r="T144">
        <f>Posts[[#This Row],[New_Followers]]-Posts[[#This Row],[Unfollows]]</f>
        <v>1334</v>
      </c>
      <c r="U144" s="32">
        <f>Posts[[#This Row],[Engagement Rate]]/Posts[[#This Row],[Ad_Spend]]</f>
        <v>3.9967946383040725E-4</v>
      </c>
    </row>
    <row r="145" spans="1:21" x14ac:dyDescent="0.25">
      <c r="A145" s="1" t="s">
        <v>204</v>
      </c>
      <c r="B145" s="1" t="s">
        <v>17</v>
      </c>
      <c r="C145" s="2">
        <v>45563</v>
      </c>
      <c r="D145" s="1" t="s">
        <v>54</v>
      </c>
      <c r="E145" t="s">
        <v>436</v>
      </c>
      <c r="F145">
        <v>4006</v>
      </c>
      <c r="G145">
        <v>420</v>
      </c>
      <c r="H145">
        <v>194</v>
      </c>
      <c r="I145">
        <v>49964</v>
      </c>
      <c r="J145">
        <v>20685</v>
      </c>
      <c r="K145">
        <v>148</v>
      </c>
      <c r="L145" s="1" t="s">
        <v>18</v>
      </c>
      <c r="M145" s="1" t="s">
        <v>57</v>
      </c>
      <c r="N145" s="1" t="s">
        <v>19</v>
      </c>
      <c r="O145">
        <v>995</v>
      </c>
      <c r="P145">
        <v>86</v>
      </c>
      <c r="Q145">
        <v>22788</v>
      </c>
      <c r="R145" s="33">
        <f>(Posts[[#This Row],[Likes]]+Posts[[#This Row],[Comments]]+Posts[[#This Row],[Shares]])/Posts[[#This Row],[Impressions]]*100</f>
        <v>9.2466575934672957</v>
      </c>
      <c r="S145">
        <v>132</v>
      </c>
      <c r="T145">
        <f>Posts[[#This Row],[New_Followers]]-Posts[[#This Row],[Unfollows]]</f>
        <v>909</v>
      </c>
      <c r="U145" s="32">
        <f>Posts[[#This Row],[Engagement Rate]]/Posts[[#This Row],[Ad_Spend]]</f>
        <v>4.0576872009247391E-4</v>
      </c>
    </row>
    <row r="146" spans="1:21" x14ac:dyDescent="0.25">
      <c r="A146" s="1" t="s">
        <v>205</v>
      </c>
      <c r="B146" s="1" t="s">
        <v>17</v>
      </c>
      <c r="C146" s="2">
        <v>45563</v>
      </c>
      <c r="D146" s="1" t="s">
        <v>51</v>
      </c>
      <c r="E146" t="s">
        <v>437</v>
      </c>
      <c r="F146">
        <v>4471</v>
      </c>
      <c r="G146">
        <v>317</v>
      </c>
      <c r="H146">
        <v>249</v>
      </c>
      <c r="I146">
        <v>44862</v>
      </c>
      <c r="J146">
        <v>33365</v>
      </c>
      <c r="K146">
        <v>184</v>
      </c>
      <c r="L146" s="1" t="s">
        <v>26</v>
      </c>
      <c r="M146" s="1" t="s">
        <v>14</v>
      </c>
      <c r="N146" s="1" t="s">
        <v>19</v>
      </c>
      <c r="O146">
        <v>995</v>
      </c>
      <c r="P146">
        <v>86</v>
      </c>
      <c r="Q146">
        <v>22788</v>
      </c>
      <c r="R146" s="33">
        <f>(Posts[[#This Row],[Likes]]+Posts[[#This Row],[Comments]]+Posts[[#This Row],[Shares]])/Posts[[#This Row],[Impressions]]*100</f>
        <v>11.22776514644911</v>
      </c>
      <c r="S146">
        <v>77</v>
      </c>
      <c r="T146">
        <f>Posts[[#This Row],[New_Followers]]-Posts[[#This Row],[Unfollows]]</f>
        <v>909</v>
      </c>
      <c r="U146" s="32">
        <f>Posts[[#This Row],[Engagement Rate]]/Posts[[#This Row],[Ad_Spend]]</f>
        <v>4.9270515826088776E-4</v>
      </c>
    </row>
    <row r="147" spans="1:21" x14ac:dyDescent="0.25">
      <c r="A147" s="1" t="s">
        <v>206</v>
      </c>
      <c r="B147" s="1" t="s">
        <v>12</v>
      </c>
      <c r="C147" s="2">
        <v>45566</v>
      </c>
      <c r="D147" s="1" t="s">
        <v>48</v>
      </c>
      <c r="E147" t="s">
        <v>49</v>
      </c>
      <c r="F147">
        <v>3543</v>
      </c>
      <c r="G147">
        <v>334</v>
      </c>
      <c r="H147">
        <v>218</v>
      </c>
      <c r="I147">
        <v>58007</v>
      </c>
      <c r="J147">
        <v>24792</v>
      </c>
      <c r="K147">
        <v>273</v>
      </c>
      <c r="L147" s="1" t="s">
        <v>26</v>
      </c>
      <c r="M147" s="1" t="s">
        <v>22</v>
      </c>
      <c r="N147" s="1" t="s">
        <v>9</v>
      </c>
      <c r="O147">
        <v>1472</v>
      </c>
      <c r="P147">
        <v>296</v>
      </c>
      <c r="Q147">
        <v>7810</v>
      </c>
      <c r="R147" s="33">
        <f>(Posts[[#This Row],[Likes]]+Posts[[#This Row],[Comments]]+Posts[[#This Row],[Shares]])/Posts[[#This Row],[Impressions]]*100</f>
        <v>7.059492819832089</v>
      </c>
      <c r="S147">
        <v>201</v>
      </c>
      <c r="T147">
        <f>Posts[[#This Row],[New_Followers]]-Posts[[#This Row],[Unfollows]]</f>
        <v>1176</v>
      </c>
      <c r="U147" s="32">
        <f>Posts[[#This Row],[Engagement Rate]]/Posts[[#This Row],[Ad_Spend]]</f>
        <v>9.039043303242111E-4</v>
      </c>
    </row>
    <row r="148" spans="1:21" x14ac:dyDescent="0.25">
      <c r="A148" s="1" t="s">
        <v>207</v>
      </c>
      <c r="B148" s="1" t="s">
        <v>17</v>
      </c>
      <c r="C148" s="2">
        <v>45569</v>
      </c>
      <c r="D148" s="1" t="s">
        <v>51</v>
      </c>
      <c r="E148" t="s">
        <v>49</v>
      </c>
      <c r="F148">
        <v>2870</v>
      </c>
      <c r="G148">
        <v>380</v>
      </c>
      <c r="H148">
        <v>393</v>
      </c>
      <c r="I148">
        <v>37621</v>
      </c>
      <c r="J148">
        <v>71794</v>
      </c>
      <c r="K148">
        <v>127</v>
      </c>
      <c r="L148" s="1" t="s">
        <v>14</v>
      </c>
      <c r="M148" s="1" t="s">
        <v>18</v>
      </c>
      <c r="N148" s="1" t="s">
        <v>19</v>
      </c>
      <c r="O148">
        <v>995</v>
      </c>
      <c r="P148">
        <v>86</v>
      </c>
      <c r="Q148">
        <v>22788</v>
      </c>
      <c r="R148" s="33">
        <f>(Posts[[#This Row],[Likes]]+Posts[[#This Row],[Comments]]+Posts[[#This Row],[Shares]])/Posts[[#This Row],[Impressions]]*100</f>
        <v>9.6834214933149045</v>
      </c>
      <c r="S148">
        <v>117</v>
      </c>
      <c r="T148">
        <f>Posts[[#This Row],[New_Followers]]-Posts[[#This Row],[Unfollows]]</f>
        <v>909</v>
      </c>
      <c r="U148" s="32">
        <f>Posts[[#This Row],[Engagement Rate]]/Posts[[#This Row],[Ad_Spend]]</f>
        <v>4.249351190677069E-4</v>
      </c>
    </row>
    <row r="149" spans="1:21" x14ac:dyDescent="0.25">
      <c r="A149" s="1" t="s">
        <v>208</v>
      </c>
      <c r="B149" s="1" t="s">
        <v>11</v>
      </c>
      <c r="C149" s="2">
        <v>45571</v>
      </c>
      <c r="D149" s="1" t="s">
        <v>54</v>
      </c>
      <c r="E149" t="s">
        <v>55</v>
      </c>
      <c r="F149">
        <v>2080</v>
      </c>
      <c r="G149">
        <v>389</v>
      </c>
      <c r="H149">
        <v>92</v>
      </c>
      <c r="I149">
        <v>30971</v>
      </c>
      <c r="J149">
        <v>25347</v>
      </c>
      <c r="K149">
        <v>111</v>
      </c>
      <c r="L149" s="1" t="s">
        <v>26</v>
      </c>
      <c r="M149" s="1" t="s">
        <v>57</v>
      </c>
      <c r="N149" s="1" t="s">
        <v>23</v>
      </c>
      <c r="O149">
        <v>1402</v>
      </c>
      <c r="P149">
        <v>68</v>
      </c>
      <c r="Q149">
        <v>23125</v>
      </c>
      <c r="R149" s="33">
        <f>(Posts[[#This Row],[Likes]]+Posts[[#This Row],[Comments]]+Posts[[#This Row],[Shares]])/Posts[[#This Row],[Impressions]]*100</f>
        <v>8.269025862904007</v>
      </c>
      <c r="S149">
        <v>167</v>
      </c>
      <c r="T149">
        <f>Posts[[#This Row],[New_Followers]]-Posts[[#This Row],[Unfollows]]</f>
        <v>1334</v>
      </c>
      <c r="U149" s="32">
        <f>Posts[[#This Row],[Engagement Rate]]/Posts[[#This Row],[Ad_Spend]]</f>
        <v>3.5757949677422734E-4</v>
      </c>
    </row>
    <row r="150" spans="1:21" x14ac:dyDescent="0.25">
      <c r="A150" s="1" t="s">
        <v>209</v>
      </c>
      <c r="B150" s="1" t="s">
        <v>11</v>
      </c>
      <c r="C150" s="2">
        <v>45573</v>
      </c>
      <c r="D150" s="1" t="s">
        <v>54</v>
      </c>
      <c r="E150" t="s">
        <v>439</v>
      </c>
      <c r="F150">
        <v>2110</v>
      </c>
      <c r="G150">
        <v>384</v>
      </c>
      <c r="H150">
        <v>236</v>
      </c>
      <c r="I150">
        <v>49965</v>
      </c>
      <c r="J150">
        <v>61555</v>
      </c>
      <c r="K150">
        <v>195</v>
      </c>
      <c r="L150" s="1" t="s">
        <v>26</v>
      </c>
      <c r="M150" s="1" t="s">
        <v>57</v>
      </c>
      <c r="N150" s="1" t="s">
        <v>23</v>
      </c>
      <c r="O150">
        <v>1402</v>
      </c>
      <c r="P150">
        <v>68</v>
      </c>
      <c r="Q150">
        <v>23125</v>
      </c>
      <c r="R150" s="33">
        <f>(Posts[[#This Row],[Likes]]+Posts[[#This Row],[Comments]]+Posts[[#This Row],[Shares]])/Posts[[#This Row],[Impressions]]*100</f>
        <v>5.4638246772740917</v>
      </c>
      <c r="S150">
        <v>237</v>
      </c>
      <c r="T150">
        <f>Posts[[#This Row],[New_Followers]]-Posts[[#This Row],[Unfollows]]</f>
        <v>1334</v>
      </c>
      <c r="U150" s="32">
        <f>Posts[[#This Row],[Engagement Rate]]/Posts[[#This Row],[Ad_Spend]]</f>
        <v>2.3627349955779856E-4</v>
      </c>
    </row>
    <row r="151" spans="1:21" x14ac:dyDescent="0.25">
      <c r="A151" s="1" t="s">
        <v>210</v>
      </c>
      <c r="B151" s="1" t="s">
        <v>17</v>
      </c>
      <c r="C151" s="2">
        <v>45573</v>
      </c>
      <c r="D151" s="1" t="s">
        <v>54</v>
      </c>
      <c r="E151" t="s">
        <v>49</v>
      </c>
      <c r="F151">
        <v>2460</v>
      </c>
      <c r="G151">
        <v>409</v>
      </c>
      <c r="H151">
        <v>253</v>
      </c>
      <c r="I151">
        <v>36702</v>
      </c>
      <c r="J151">
        <v>46122</v>
      </c>
      <c r="K151">
        <v>264</v>
      </c>
      <c r="L151" s="1" t="s">
        <v>18</v>
      </c>
      <c r="M151" s="1" t="s">
        <v>57</v>
      </c>
      <c r="N151" s="1" t="s">
        <v>19</v>
      </c>
      <c r="O151">
        <v>995</v>
      </c>
      <c r="P151">
        <v>86</v>
      </c>
      <c r="Q151">
        <v>22788</v>
      </c>
      <c r="R151" s="33">
        <f>(Posts[[#This Row],[Likes]]+Posts[[#This Row],[Comments]]+Posts[[#This Row],[Shares]])/Posts[[#This Row],[Impressions]]*100</f>
        <v>8.5063484278785886</v>
      </c>
      <c r="S151">
        <v>155</v>
      </c>
      <c r="T151">
        <f>Posts[[#This Row],[New_Followers]]-Posts[[#This Row],[Unfollows]]</f>
        <v>909</v>
      </c>
      <c r="U151" s="32">
        <f>Posts[[#This Row],[Engagement Rate]]/Posts[[#This Row],[Ad_Spend]]</f>
        <v>3.7328192153232353E-4</v>
      </c>
    </row>
    <row r="152" spans="1:21" x14ac:dyDescent="0.25">
      <c r="A152" s="10" t="s">
        <v>211</v>
      </c>
      <c r="B152" s="10" t="s">
        <v>17</v>
      </c>
      <c r="C152" s="23">
        <v>45574</v>
      </c>
      <c r="D152" s="10" t="s">
        <v>51</v>
      </c>
      <c r="E152" s="10" t="s">
        <v>437</v>
      </c>
      <c r="F152" s="10">
        <v>4929</v>
      </c>
      <c r="G152" s="10">
        <v>182</v>
      </c>
      <c r="H152" s="10">
        <v>95</v>
      </c>
      <c r="I152" s="10">
        <v>32181</v>
      </c>
      <c r="J152" s="10">
        <v>31084</v>
      </c>
      <c r="K152" s="10">
        <v>289</v>
      </c>
      <c r="L152" s="10" t="s">
        <v>26</v>
      </c>
      <c r="M152" s="10" t="s">
        <v>14</v>
      </c>
      <c r="N152" s="10" t="s">
        <v>19</v>
      </c>
      <c r="O152" s="10">
        <v>995</v>
      </c>
      <c r="P152" s="10">
        <v>86</v>
      </c>
      <c r="Q152" s="10">
        <v>22788</v>
      </c>
      <c r="R152" s="34">
        <f>(Posts[[#This Row],[Likes]]+Posts[[#This Row],[Comments]]+Posts[[#This Row],[Shares]])/Posts[[#This Row],[Impressions]]*100</f>
        <v>16.177247444144061</v>
      </c>
      <c r="S152">
        <v>25</v>
      </c>
      <c r="T152" s="10">
        <f>Posts[[#This Row],[New_Followers]]-Posts[[#This Row],[Unfollows]]</f>
        <v>909</v>
      </c>
      <c r="U152" s="10">
        <f>Posts[[#This Row],[Engagement Rate]]/Posts[[#This Row],[Ad_Spend]]</f>
        <v>7.0990202931999564E-4</v>
      </c>
    </row>
    <row r="153" spans="1:21" x14ac:dyDescent="0.25">
      <c r="A153" s="1" t="s">
        <v>212</v>
      </c>
      <c r="B153" s="1" t="s">
        <v>17</v>
      </c>
      <c r="C153" s="2">
        <v>45574</v>
      </c>
      <c r="D153" s="1" t="s">
        <v>54</v>
      </c>
      <c r="E153" t="s">
        <v>69</v>
      </c>
      <c r="F153">
        <v>2659</v>
      </c>
      <c r="G153">
        <v>167</v>
      </c>
      <c r="H153">
        <v>73</v>
      </c>
      <c r="I153">
        <v>23090</v>
      </c>
      <c r="J153">
        <v>25872</v>
      </c>
      <c r="K153">
        <v>293</v>
      </c>
      <c r="L153" s="1" t="s">
        <v>22</v>
      </c>
      <c r="M153" s="1" t="s">
        <v>57</v>
      </c>
      <c r="N153" s="1" t="s">
        <v>23</v>
      </c>
      <c r="O153">
        <v>995</v>
      </c>
      <c r="P153">
        <v>86</v>
      </c>
      <c r="Q153">
        <v>22788</v>
      </c>
      <c r="R153" s="33">
        <f>(Posts[[#This Row],[Likes]]+Posts[[#This Row],[Comments]]+Posts[[#This Row],[Shares]])/Posts[[#This Row],[Impressions]]*100</f>
        <v>12.555218709398009</v>
      </c>
      <c r="S153">
        <v>60</v>
      </c>
      <c r="T153">
        <f>Posts[[#This Row],[New_Followers]]-Posts[[#This Row],[Unfollows]]</f>
        <v>909</v>
      </c>
      <c r="U153" s="32">
        <f>Posts[[#This Row],[Engagement Rate]]/Posts[[#This Row],[Ad_Spend]]</f>
        <v>5.5095746486738669E-4</v>
      </c>
    </row>
    <row r="154" spans="1:21" x14ac:dyDescent="0.25">
      <c r="A154" s="1" t="s">
        <v>213</v>
      </c>
      <c r="B154" s="1" t="s">
        <v>12</v>
      </c>
      <c r="C154" s="2">
        <v>45575</v>
      </c>
      <c r="D154" s="1" t="s">
        <v>48</v>
      </c>
      <c r="E154" t="s">
        <v>439</v>
      </c>
      <c r="F154">
        <v>4013</v>
      </c>
      <c r="G154">
        <v>320</v>
      </c>
      <c r="H154">
        <v>92</v>
      </c>
      <c r="I154">
        <v>54605</v>
      </c>
      <c r="J154">
        <v>60169</v>
      </c>
      <c r="K154">
        <v>232</v>
      </c>
      <c r="L154" s="1" t="s">
        <v>26</v>
      </c>
      <c r="M154" s="1" t="s">
        <v>22</v>
      </c>
      <c r="N154" s="1" t="s">
        <v>9</v>
      </c>
      <c r="O154">
        <v>1472</v>
      </c>
      <c r="P154">
        <v>296</v>
      </c>
      <c r="Q154">
        <v>7810</v>
      </c>
      <c r="R154" s="33">
        <f>(Posts[[#This Row],[Likes]]+Posts[[#This Row],[Comments]]+Posts[[#This Row],[Shares]])/Posts[[#This Row],[Impressions]]*100</f>
        <v>8.1036535115831878</v>
      </c>
      <c r="S154">
        <v>174</v>
      </c>
      <c r="T154">
        <f>Posts[[#This Row],[New_Followers]]-Posts[[#This Row],[Unfollows]]</f>
        <v>1176</v>
      </c>
      <c r="U154" s="32">
        <f>Posts[[#This Row],[Engagement Rate]]/Posts[[#This Row],[Ad_Spend]]</f>
        <v>1.0375996813806899E-3</v>
      </c>
    </row>
    <row r="155" spans="1:21" x14ac:dyDescent="0.25">
      <c r="A155" s="1" t="s">
        <v>214</v>
      </c>
      <c r="B155" s="1" t="s">
        <v>11</v>
      </c>
      <c r="C155" s="2">
        <v>45576</v>
      </c>
      <c r="D155" s="1" t="s">
        <v>54</v>
      </c>
      <c r="E155" t="s">
        <v>439</v>
      </c>
      <c r="F155">
        <v>1360</v>
      </c>
      <c r="G155">
        <v>249</v>
      </c>
      <c r="H155">
        <v>52</v>
      </c>
      <c r="I155">
        <v>20368</v>
      </c>
      <c r="J155">
        <v>42152</v>
      </c>
      <c r="K155">
        <v>193</v>
      </c>
      <c r="L155" s="1" t="s">
        <v>26</v>
      </c>
      <c r="M155" s="1" t="s">
        <v>57</v>
      </c>
      <c r="N155" s="1" t="s">
        <v>23</v>
      </c>
      <c r="O155">
        <v>1402</v>
      </c>
      <c r="P155">
        <v>68</v>
      </c>
      <c r="Q155">
        <v>23125</v>
      </c>
      <c r="R155" s="33">
        <f>(Posts[[#This Row],[Likes]]+Posts[[#This Row],[Comments]]+Posts[[#This Row],[Shares]])/Posts[[#This Row],[Impressions]]*100</f>
        <v>8.1549489395129608</v>
      </c>
      <c r="S155">
        <v>171</v>
      </c>
      <c r="T155">
        <f>Posts[[#This Row],[New_Followers]]-Posts[[#This Row],[Unfollows]]</f>
        <v>1334</v>
      </c>
      <c r="U155" s="32">
        <f>Posts[[#This Row],[Engagement Rate]]/Posts[[#This Row],[Ad_Spend]]</f>
        <v>3.526464406275875E-4</v>
      </c>
    </row>
    <row r="156" spans="1:21" x14ac:dyDescent="0.25">
      <c r="A156" s="1" t="s">
        <v>215</v>
      </c>
      <c r="B156" s="1" t="s">
        <v>17</v>
      </c>
      <c r="C156" s="2">
        <v>45577</v>
      </c>
      <c r="D156" s="1" t="s">
        <v>54</v>
      </c>
      <c r="E156" t="s">
        <v>89</v>
      </c>
      <c r="F156">
        <v>3169</v>
      </c>
      <c r="G156">
        <v>386</v>
      </c>
      <c r="H156">
        <v>175</v>
      </c>
      <c r="I156">
        <v>45012</v>
      </c>
      <c r="J156">
        <v>38508</v>
      </c>
      <c r="K156">
        <v>218</v>
      </c>
      <c r="L156" s="1" t="s">
        <v>18</v>
      </c>
      <c r="M156" s="1" t="s">
        <v>57</v>
      </c>
      <c r="N156" s="1" t="s">
        <v>19</v>
      </c>
      <c r="O156">
        <v>995</v>
      </c>
      <c r="P156">
        <v>86</v>
      </c>
      <c r="Q156">
        <v>22788</v>
      </c>
      <c r="R156" s="33">
        <f>(Posts[[#This Row],[Likes]]+Posts[[#This Row],[Comments]]+Posts[[#This Row],[Shares]])/Posts[[#This Row],[Impressions]]*100</f>
        <v>8.2866791077934785</v>
      </c>
      <c r="S156">
        <v>165</v>
      </c>
      <c r="T156">
        <f>Posts[[#This Row],[New_Followers]]-Posts[[#This Row],[Unfollows]]</f>
        <v>909</v>
      </c>
      <c r="U156" s="32">
        <f>Posts[[#This Row],[Engagement Rate]]/Posts[[#This Row],[Ad_Spend]]</f>
        <v>3.636422287078058E-4</v>
      </c>
    </row>
    <row r="157" spans="1:21" x14ac:dyDescent="0.25">
      <c r="A157" s="1" t="s">
        <v>216</v>
      </c>
      <c r="B157" s="1" t="s">
        <v>17</v>
      </c>
      <c r="C157" s="2">
        <v>45579</v>
      </c>
      <c r="D157" s="1" t="s">
        <v>51</v>
      </c>
      <c r="E157" t="s">
        <v>49</v>
      </c>
      <c r="F157">
        <v>4303</v>
      </c>
      <c r="G157">
        <v>306</v>
      </c>
      <c r="H157">
        <v>302</v>
      </c>
      <c r="I157">
        <v>39575</v>
      </c>
      <c r="J157">
        <v>33762</v>
      </c>
      <c r="K157">
        <v>265</v>
      </c>
      <c r="L157" s="1" t="s">
        <v>26</v>
      </c>
      <c r="M157" s="1" t="s">
        <v>14</v>
      </c>
      <c r="N157" s="1" t="s">
        <v>19</v>
      </c>
      <c r="O157">
        <v>995</v>
      </c>
      <c r="P157">
        <v>86</v>
      </c>
      <c r="Q157">
        <v>22788</v>
      </c>
      <c r="R157" s="33">
        <f>(Posts[[#This Row],[Likes]]+Posts[[#This Row],[Comments]]+Posts[[#This Row],[Shares]])/Posts[[#This Row],[Impressions]]*100</f>
        <v>12.409349336702464</v>
      </c>
      <c r="S157">
        <v>61</v>
      </c>
      <c r="T157">
        <f>Posts[[#This Row],[New_Followers]]-Posts[[#This Row],[Unfollows]]</f>
        <v>909</v>
      </c>
      <c r="U157" s="32">
        <f>Posts[[#This Row],[Engagement Rate]]/Posts[[#This Row],[Ad_Spend]]</f>
        <v>5.4455631633765417E-4</v>
      </c>
    </row>
    <row r="158" spans="1:21" x14ac:dyDescent="0.25">
      <c r="A158" s="1" t="s">
        <v>217</v>
      </c>
      <c r="B158" s="1" t="s">
        <v>17</v>
      </c>
      <c r="C158" s="2">
        <v>45580</v>
      </c>
      <c r="D158" s="1" t="s">
        <v>54</v>
      </c>
      <c r="E158" t="s">
        <v>437</v>
      </c>
      <c r="F158">
        <v>1984</v>
      </c>
      <c r="G158">
        <v>481</v>
      </c>
      <c r="H158">
        <v>356</v>
      </c>
      <c r="I158">
        <v>40681</v>
      </c>
      <c r="J158">
        <v>63111</v>
      </c>
      <c r="K158">
        <v>258</v>
      </c>
      <c r="L158" s="1" t="s">
        <v>18</v>
      </c>
      <c r="M158" s="1" t="s">
        <v>57</v>
      </c>
      <c r="N158" s="1" t="s">
        <v>19</v>
      </c>
      <c r="O158">
        <v>995</v>
      </c>
      <c r="P158">
        <v>86</v>
      </c>
      <c r="Q158">
        <v>22788</v>
      </c>
      <c r="R158" s="33">
        <f>(Posts[[#This Row],[Likes]]+Posts[[#This Row],[Comments]]+Posts[[#This Row],[Shares]])/Posts[[#This Row],[Impressions]]*100</f>
        <v>6.9344411395983379</v>
      </c>
      <c r="S158">
        <v>205</v>
      </c>
      <c r="T158">
        <f>Posts[[#This Row],[New_Followers]]-Posts[[#This Row],[Unfollows]]</f>
        <v>909</v>
      </c>
      <c r="U158" s="32">
        <f>Posts[[#This Row],[Engagement Rate]]/Posts[[#This Row],[Ad_Spend]]</f>
        <v>3.0430231435836134E-4</v>
      </c>
    </row>
    <row r="159" spans="1:21" x14ac:dyDescent="0.25">
      <c r="A159" s="1" t="s">
        <v>218</v>
      </c>
      <c r="B159" s="1" t="s">
        <v>17</v>
      </c>
      <c r="C159" s="2">
        <v>45583</v>
      </c>
      <c r="D159" s="1" t="s">
        <v>54</v>
      </c>
      <c r="E159" t="s">
        <v>438</v>
      </c>
      <c r="F159">
        <v>2607</v>
      </c>
      <c r="G159">
        <v>379</v>
      </c>
      <c r="H159">
        <v>180</v>
      </c>
      <c r="I159">
        <v>28712</v>
      </c>
      <c r="J159">
        <v>61620</v>
      </c>
      <c r="K159">
        <v>174</v>
      </c>
      <c r="L159" s="1" t="s">
        <v>22</v>
      </c>
      <c r="M159" s="1" t="s">
        <v>57</v>
      </c>
      <c r="N159" s="1" t="s">
        <v>23</v>
      </c>
      <c r="O159">
        <v>995</v>
      </c>
      <c r="P159">
        <v>86</v>
      </c>
      <c r="Q159">
        <v>22788</v>
      </c>
      <c r="R159" s="33">
        <f>(Posts[[#This Row],[Likes]]+Posts[[#This Row],[Comments]]+Posts[[#This Row],[Shares]])/Posts[[#This Row],[Impressions]]*100</f>
        <v>11.026748397882418</v>
      </c>
      <c r="S159">
        <v>83</v>
      </c>
      <c r="T159">
        <f>Posts[[#This Row],[New_Followers]]-Posts[[#This Row],[Unfollows]]</f>
        <v>909</v>
      </c>
      <c r="U159" s="32">
        <f>Posts[[#This Row],[Engagement Rate]]/Posts[[#This Row],[Ad_Spend]]</f>
        <v>4.8388399148158759E-4</v>
      </c>
    </row>
    <row r="160" spans="1:21" x14ac:dyDescent="0.25">
      <c r="A160" s="1" t="s">
        <v>219</v>
      </c>
      <c r="B160" s="1" t="s">
        <v>17</v>
      </c>
      <c r="C160" s="2">
        <v>45585</v>
      </c>
      <c r="D160" s="1" t="s">
        <v>54</v>
      </c>
      <c r="E160" t="s">
        <v>439</v>
      </c>
      <c r="F160">
        <v>2752</v>
      </c>
      <c r="G160">
        <v>309</v>
      </c>
      <c r="H160">
        <v>91</v>
      </c>
      <c r="I160">
        <v>39038</v>
      </c>
      <c r="J160">
        <v>28095</v>
      </c>
      <c r="K160">
        <v>277</v>
      </c>
      <c r="L160" s="1" t="s">
        <v>18</v>
      </c>
      <c r="M160" s="1" t="s">
        <v>57</v>
      </c>
      <c r="N160" s="1" t="s">
        <v>19</v>
      </c>
      <c r="O160">
        <v>995</v>
      </c>
      <c r="P160">
        <v>86</v>
      </c>
      <c r="Q160">
        <v>22788</v>
      </c>
      <c r="R160" s="33">
        <f>(Posts[[#This Row],[Likes]]+Posts[[#This Row],[Comments]]+Posts[[#This Row],[Shares]])/Posts[[#This Row],[Impressions]]*100</f>
        <v>8.0741841282852604</v>
      </c>
      <c r="S160">
        <v>175</v>
      </c>
      <c r="T160">
        <f>Posts[[#This Row],[New_Followers]]-Posts[[#This Row],[Unfollows]]</f>
        <v>909</v>
      </c>
      <c r="U160" s="32">
        <f>Posts[[#This Row],[Engagement Rate]]/Posts[[#This Row],[Ad_Spend]]</f>
        <v>3.5431736564355188E-4</v>
      </c>
    </row>
    <row r="161" spans="1:21" x14ac:dyDescent="0.25">
      <c r="A161" s="1" t="s">
        <v>220</v>
      </c>
      <c r="B161" s="1" t="s">
        <v>11</v>
      </c>
      <c r="C161" s="2">
        <v>45589</v>
      </c>
      <c r="D161" s="1" t="s">
        <v>51</v>
      </c>
      <c r="E161" t="s">
        <v>55</v>
      </c>
      <c r="F161">
        <v>1914</v>
      </c>
      <c r="G161">
        <v>255</v>
      </c>
      <c r="H161">
        <v>156</v>
      </c>
      <c r="I161">
        <v>27660</v>
      </c>
      <c r="J161">
        <v>47776</v>
      </c>
      <c r="K161">
        <v>111</v>
      </c>
      <c r="L161" s="1" t="s">
        <v>18</v>
      </c>
      <c r="M161" s="1" t="s">
        <v>57</v>
      </c>
      <c r="N161" s="1" t="s">
        <v>15</v>
      </c>
      <c r="O161">
        <v>1402</v>
      </c>
      <c r="P161">
        <v>68</v>
      </c>
      <c r="Q161">
        <v>23125</v>
      </c>
      <c r="R161" s="33">
        <f>(Posts[[#This Row],[Likes]]+Posts[[#This Row],[Comments]]+Posts[[#This Row],[Shares]])/Posts[[#This Row],[Impressions]]*100</f>
        <v>8.405639913232104</v>
      </c>
      <c r="S161">
        <v>160</v>
      </c>
      <c r="T161">
        <f>Posts[[#This Row],[New_Followers]]-Posts[[#This Row],[Unfollows]]</f>
        <v>1334</v>
      </c>
      <c r="U161" s="32">
        <f>Posts[[#This Row],[Engagement Rate]]/Posts[[#This Row],[Ad_Spend]]</f>
        <v>3.634871313830099E-4</v>
      </c>
    </row>
    <row r="162" spans="1:21" x14ac:dyDescent="0.25">
      <c r="A162" s="1" t="s">
        <v>221</v>
      </c>
      <c r="B162" s="1" t="s">
        <v>12</v>
      </c>
      <c r="C162" s="2">
        <v>45591</v>
      </c>
      <c r="D162" s="1" t="s">
        <v>54</v>
      </c>
      <c r="E162" t="s">
        <v>69</v>
      </c>
      <c r="F162">
        <v>4676</v>
      </c>
      <c r="G162">
        <v>211</v>
      </c>
      <c r="H162">
        <v>55</v>
      </c>
      <c r="I162">
        <v>45917</v>
      </c>
      <c r="J162">
        <v>73503</v>
      </c>
      <c r="K162">
        <v>248</v>
      </c>
      <c r="L162" s="1" t="s">
        <v>26</v>
      </c>
      <c r="M162" s="1" t="s">
        <v>13</v>
      </c>
      <c r="N162" s="1" t="s">
        <v>23</v>
      </c>
      <c r="O162">
        <v>1472</v>
      </c>
      <c r="P162">
        <v>296</v>
      </c>
      <c r="Q162">
        <v>7810</v>
      </c>
      <c r="R162" s="33">
        <f>(Posts[[#This Row],[Likes]]+Posts[[#This Row],[Comments]]+Posts[[#This Row],[Shares]])/Posts[[#This Row],[Impressions]]*100</f>
        <v>10.762898272970794</v>
      </c>
      <c r="S162">
        <v>90</v>
      </c>
      <c r="T162">
        <f>Posts[[#This Row],[New_Followers]]-Posts[[#This Row],[Unfollows]]</f>
        <v>1176</v>
      </c>
      <c r="U162" s="32">
        <f>Posts[[#This Row],[Engagement Rate]]/Posts[[#This Row],[Ad_Spend]]</f>
        <v>1.3780919683701401E-3</v>
      </c>
    </row>
    <row r="163" spans="1:21" x14ac:dyDescent="0.25">
      <c r="A163" s="1" t="s">
        <v>222</v>
      </c>
      <c r="B163" s="1" t="s">
        <v>17</v>
      </c>
      <c r="C163" s="2">
        <v>45591</v>
      </c>
      <c r="D163" s="1" t="s">
        <v>54</v>
      </c>
      <c r="E163" t="s">
        <v>438</v>
      </c>
      <c r="F163">
        <v>3036</v>
      </c>
      <c r="G163">
        <v>293</v>
      </c>
      <c r="H163">
        <v>115</v>
      </c>
      <c r="I163">
        <v>23776</v>
      </c>
      <c r="J163">
        <v>46386</v>
      </c>
      <c r="K163">
        <v>282</v>
      </c>
      <c r="L163" s="1" t="s">
        <v>18</v>
      </c>
      <c r="M163" s="1" t="s">
        <v>57</v>
      </c>
      <c r="N163" s="1" t="s">
        <v>19</v>
      </c>
      <c r="O163">
        <v>995</v>
      </c>
      <c r="P163">
        <v>86</v>
      </c>
      <c r="Q163">
        <v>22788</v>
      </c>
      <c r="R163" s="33">
        <f>(Posts[[#This Row],[Likes]]+Posts[[#This Row],[Comments]]+Posts[[#This Row],[Shares]])/Posts[[#This Row],[Impressions]]*100</f>
        <v>14.485195154777927</v>
      </c>
      <c r="S163">
        <v>41</v>
      </c>
      <c r="T163">
        <f>Posts[[#This Row],[New_Followers]]-Posts[[#This Row],[Unfollows]]</f>
        <v>909</v>
      </c>
      <c r="U163" s="32">
        <f>Posts[[#This Row],[Engagement Rate]]/Posts[[#This Row],[Ad_Spend]]</f>
        <v>6.3565012966376722E-4</v>
      </c>
    </row>
    <row r="164" spans="1:21" x14ac:dyDescent="0.25">
      <c r="A164" s="1" t="s">
        <v>223</v>
      </c>
      <c r="B164" s="1" t="s">
        <v>17</v>
      </c>
      <c r="C164" s="2">
        <v>45599</v>
      </c>
      <c r="D164" s="1" t="s">
        <v>51</v>
      </c>
      <c r="E164" t="s">
        <v>437</v>
      </c>
      <c r="F164">
        <v>1959</v>
      </c>
      <c r="G164">
        <v>316</v>
      </c>
      <c r="H164">
        <v>82</v>
      </c>
      <c r="I164">
        <v>54036</v>
      </c>
      <c r="J164">
        <v>69015</v>
      </c>
      <c r="K164">
        <v>182</v>
      </c>
      <c r="L164" s="1" t="s">
        <v>14</v>
      </c>
      <c r="M164" s="1" t="s">
        <v>18</v>
      </c>
      <c r="N164" s="1" t="s">
        <v>19</v>
      </c>
      <c r="O164">
        <v>995</v>
      </c>
      <c r="P164">
        <v>86</v>
      </c>
      <c r="Q164">
        <v>22788</v>
      </c>
      <c r="R164" s="33">
        <f>(Posts[[#This Row],[Likes]]+Posts[[#This Row],[Comments]]+Posts[[#This Row],[Shares]])/Posts[[#This Row],[Impressions]]*100</f>
        <v>4.3619068768968834</v>
      </c>
      <c r="S164">
        <v>270</v>
      </c>
      <c r="T164">
        <f>Posts[[#This Row],[New_Followers]]-Posts[[#This Row],[Unfollows]]</f>
        <v>909</v>
      </c>
      <c r="U164" s="32">
        <f>Posts[[#This Row],[Engagement Rate]]/Posts[[#This Row],[Ad_Spend]]</f>
        <v>1.9141244852101472E-4</v>
      </c>
    </row>
    <row r="165" spans="1:21" x14ac:dyDescent="0.25">
      <c r="A165" s="1" t="s">
        <v>224</v>
      </c>
      <c r="B165" s="1" t="s">
        <v>17</v>
      </c>
      <c r="C165" s="2">
        <v>45599</v>
      </c>
      <c r="D165" s="1" t="s">
        <v>51</v>
      </c>
      <c r="E165" t="s">
        <v>49</v>
      </c>
      <c r="F165">
        <v>3061</v>
      </c>
      <c r="G165">
        <v>320</v>
      </c>
      <c r="H165">
        <v>76</v>
      </c>
      <c r="I165">
        <v>26640</v>
      </c>
      <c r="J165">
        <v>24306</v>
      </c>
      <c r="K165">
        <v>112</v>
      </c>
      <c r="L165" s="1" t="s">
        <v>14</v>
      </c>
      <c r="M165" s="1" t="s">
        <v>18</v>
      </c>
      <c r="N165" s="1" t="s">
        <v>19</v>
      </c>
      <c r="O165">
        <v>995</v>
      </c>
      <c r="P165">
        <v>86</v>
      </c>
      <c r="Q165">
        <v>22788</v>
      </c>
      <c r="R165" s="33">
        <f>(Posts[[#This Row],[Likes]]+Posts[[#This Row],[Comments]]+Posts[[#This Row],[Shares]])/Posts[[#This Row],[Impressions]]*100</f>
        <v>12.976726726726726</v>
      </c>
      <c r="S165">
        <v>57</v>
      </c>
      <c r="T165">
        <f>Posts[[#This Row],[New_Followers]]-Posts[[#This Row],[Unfollows]]</f>
        <v>909</v>
      </c>
      <c r="U165" s="32">
        <f>Posts[[#This Row],[Engagement Rate]]/Posts[[#This Row],[Ad_Spend]]</f>
        <v>5.6945439383564709E-4</v>
      </c>
    </row>
    <row r="166" spans="1:21" x14ac:dyDescent="0.25">
      <c r="A166" s="1" t="s">
        <v>225</v>
      </c>
      <c r="B166" s="1" t="s">
        <v>17</v>
      </c>
      <c r="C166" s="2">
        <v>45602</v>
      </c>
      <c r="D166" s="1" t="s">
        <v>54</v>
      </c>
      <c r="E166" t="s">
        <v>439</v>
      </c>
      <c r="F166">
        <v>2956</v>
      </c>
      <c r="G166">
        <v>381</v>
      </c>
      <c r="H166">
        <v>345</v>
      </c>
      <c r="I166">
        <v>33347</v>
      </c>
      <c r="J166">
        <v>22558</v>
      </c>
      <c r="K166">
        <v>173</v>
      </c>
      <c r="L166" s="1" t="s">
        <v>18</v>
      </c>
      <c r="M166" s="1" t="s">
        <v>57</v>
      </c>
      <c r="N166" s="1" t="s">
        <v>19</v>
      </c>
      <c r="O166">
        <v>995</v>
      </c>
      <c r="P166">
        <v>86</v>
      </c>
      <c r="Q166">
        <v>22788</v>
      </c>
      <c r="R166" s="33">
        <f>(Posts[[#This Row],[Likes]]+Posts[[#This Row],[Comments]]+Posts[[#This Row],[Shares]])/Posts[[#This Row],[Impressions]]*100</f>
        <v>11.041472996071612</v>
      </c>
      <c r="S166">
        <v>82</v>
      </c>
      <c r="T166">
        <f>Posts[[#This Row],[New_Followers]]-Posts[[#This Row],[Unfollows]]</f>
        <v>909</v>
      </c>
      <c r="U166" s="32">
        <f>Posts[[#This Row],[Engagement Rate]]/Posts[[#This Row],[Ad_Spend]]</f>
        <v>4.8453014727363578E-4</v>
      </c>
    </row>
    <row r="167" spans="1:21" x14ac:dyDescent="0.25">
      <c r="A167" s="1" t="s">
        <v>226</v>
      </c>
      <c r="B167" s="1" t="s">
        <v>17</v>
      </c>
      <c r="C167" s="2">
        <v>45603</v>
      </c>
      <c r="D167" s="1" t="s">
        <v>54</v>
      </c>
      <c r="E167" t="s">
        <v>49</v>
      </c>
      <c r="F167">
        <v>2229</v>
      </c>
      <c r="G167">
        <v>395</v>
      </c>
      <c r="H167">
        <v>328</v>
      </c>
      <c r="I167">
        <v>56921</v>
      </c>
      <c r="J167">
        <v>37176</v>
      </c>
      <c r="K167">
        <v>126</v>
      </c>
      <c r="L167" s="1" t="s">
        <v>22</v>
      </c>
      <c r="M167" s="1" t="s">
        <v>57</v>
      </c>
      <c r="N167" s="1" t="s">
        <v>23</v>
      </c>
      <c r="O167">
        <v>995</v>
      </c>
      <c r="P167">
        <v>86</v>
      </c>
      <c r="Q167">
        <v>22788</v>
      </c>
      <c r="R167" s="33">
        <f>(Posts[[#This Row],[Likes]]+Posts[[#This Row],[Comments]]+Posts[[#This Row],[Shares]])/Posts[[#This Row],[Impressions]]*100</f>
        <v>5.1861351697967359</v>
      </c>
      <c r="S167">
        <v>249</v>
      </c>
      <c r="T167">
        <f>Posts[[#This Row],[New_Followers]]-Posts[[#This Row],[Unfollows]]</f>
        <v>909</v>
      </c>
      <c r="U167" s="32">
        <f>Posts[[#This Row],[Engagement Rate]]/Posts[[#This Row],[Ad_Spend]]</f>
        <v>2.2758184877113991E-4</v>
      </c>
    </row>
    <row r="168" spans="1:21" x14ac:dyDescent="0.25">
      <c r="A168" s="1" t="s">
        <v>227</v>
      </c>
      <c r="B168" s="1" t="s">
        <v>11</v>
      </c>
      <c r="C168" s="2">
        <v>45603</v>
      </c>
      <c r="D168" s="1" t="s">
        <v>51</v>
      </c>
      <c r="E168" t="s">
        <v>437</v>
      </c>
      <c r="F168">
        <v>1678</v>
      </c>
      <c r="G168">
        <v>423</v>
      </c>
      <c r="H168">
        <v>323</v>
      </c>
      <c r="I168">
        <v>55668</v>
      </c>
      <c r="J168">
        <v>37945</v>
      </c>
      <c r="K168">
        <v>230</v>
      </c>
      <c r="L168" s="1" t="s">
        <v>18</v>
      </c>
      <c r="M168" s="1" t="s">
        <v>57</v>
      </c>
      <c r="N168" s="1" t="s">
        <v>15</v>
      </c>
      <c r="O168">
        <v>1402</v>
      </c>
      <c r="P168">
        <v>68</v>
      </c>
      <c r="Q168">
        <v>23125</v>
      </c>
      <c r="R168" s="33">
        <f>(Posts[[#This Row],[Likes]]+Posts[[#This Row],[Comments]]+Posts[[#This Row],[Shares]])/Posts[[#This Row],[Impressions]]*100</f>
        <v>4.3543867212761374</v>
      </c>
      <c r="S168">
        <v>271</v>
      </c>
      <c r="T168">
        <f>Posts[[#This Row],[New_Followers]]-Posts[[#This Row],[Unfollows]]</f>
        <v>1334</v>
      </c>
      <c r="U168" s="32">
        <f>Posts[[#This Row],[Engagement Rate]]/Posts[[#This Row],[Ad_Spend]]</f>
        <v>1.8829780416329244E-4</v>
      </c>
    </row>
    <row r="169" spans="1:21" x14ac:dyDescent="0.25">
      <c r="A169" s="1" t="s">
        <v>228</v>
      </c>
      <c r="B169" s="1" t="s">
        <v>12</v>
      </c>
      <c r="C169" s="2">
        <v>45604</v>
      </c>
      <c r="D169" s="1" t="s">
        <v>54</v>
      </c>
      <c r="E169" t="s">
        <v>55</v>
      </c>
      <c r="F169">
        <v>2471</v>
      </c>
      <c r="G169">
        <v>166</v>
      </c>
      <c r="H169">
        <v>320</v>
      </c>
      <c r="I169">
        <v>48254</v>
      </c>
      <c r="J169">
        <v>46900</v>
      </c>
      <c r="K169">
        <v>111</v>
      </c>
      <c r="L169" s="1" t="s">
        <v>26</v>
      </c>
      <c r="M169" s="1" t="s">
        <v>13</v>
      </c>
      <c r="N169" s="1" t="s">
        <v>23</v>
      </c>
      <c r="O169">
        <v>1472</v>
      </c>
      <c r="P169">
        <v>296</v>
      </c>
      <c r="Q169">
        <v>7810</v>
      </c>
      <c r="R169" s="33">
        <f>(Posts[[#This Row],[Likes]]+Posts[[#This Row],[Comments]]+Posts[[#This Row],[Shares]])/Posts[[#This Row],[Impressions]]*100</f>
        <v>6.127989389480665</v>
      </c>
      <c r="S169">
        <v>219</v>
      </c>
      <c r="T169">
        <f>Posts[[#This Row],[New_Followers]]-Posts[[#This Row],[Unfollows]]</f>
        <v>1176</v>
      </c>
      <c r="U169" s="32">
        <f>Posts[[#This Row],[Engagement Rate]]/Posts[[#This Row],[Ad_Spend]]</f>
        <v>7.8463372464541168E-4</v>
      </c>
    </row>
    <row r="170" spans="1:21" x14ac:dyDescent="0.25">
      <c r="A170" s="10" t="s">
        <v>229</v>
      </c>
      <c r="B170" s="10" t="s">
        <v>17</v>
      </c>
      <c r="C170" s="23">
        <v>45606</v>
      </c>
      <c r="D170" s="10" t="s">
        <v>54</v>
      </c>
      <c r="E170" s="10" t="s">
        <v>49</v>
      </c>
      <c r="F170" s="10">
        <v>4823</v>
      </c>
      <c r="G170" s="10">
        <v>489</v>
      </c>
      <c r="H170" s="10">
        <v>302</v>
      </c>
      <c r="I170" s="10">
        <v>32470</v>
      </c>
      <c r="J170" s="10">
        <v>31861</v>
      </c>
      <c r="K170" s="10">
        <v>178</v>
      </c>
      <c r="L170" s="10" t="s">
        <v>22</v>
      </c>
      <c r="M170" s="10" t="s">
        <v>57</v>
      </c>
      <c r="N170" s="10" t="s">
        <v>23</v>
      </c>
      <c r="O170" s="10">
        <v>995</v>
      </c>
      <c r="P170" s="10">
        <v>86</v>
      </c>
      <c r="Q170" s="10">
        <v>22788</v>
      </c>
      <c r="R170" s="34">
        <f>(Posts[[#This Row],[Likes]]+Posts[[#This Row],[Comments]]+Posts[[#This Row],[Shares]])/Posts[[#This Row],[Impressions]]*100</f>
        <v>17.289805974745921</v>
      </c>
      <c r="S170">
        <v>16</v>
      </c>
      <c r="T170" s="10">
        <f>Posts[[#This Row],[New_Followers]]-Posts[[#This Row],[Unfollows]]</f>
        <v>909</v>
      </c>
      <c r="U170" s="10">
        <f>Posts[[#This Row],[Engagement Rate]]/Posts[[#This Row],[Ad_Spend]]</f>
        <v>7.5872415195479728E-4</v>
      </c>
    </row>
    <row r="171" spans="1:21" x14ac:dyDescent="0.25">
      <c r="A171" s="1" t="s">
        <v>230</v>
      </c>
      <c r="B171" s="1" t="s">
        <v>17</v>
      </c>
      <c r="C171" s="2">
        <v>45609</v>
      </c>
      <c r="D171" s="1" t="s">
        <v>51</v>
      </c>
      <c r="E171" t="s">
        <v>438</v>
      </c>
      <c r="F171">
        <v>1409</v>
      </c>
      <c r="G171">
        <v>466</v>
      </c>
      <c r="H171">
        <v>105</v>
      </c>
      <c r="I171">
        <v>58923</v>
      </c>
      <c r="J171">
        <v>38753</v>
      </c>
      <c r="K171">
        <v>265</v>
      </c>
      <c r="L171" s="1" t="s">
        <v>26</v>
      </c>
      <c r="M171" s="1" t="s">
        <v>14</v>
      </c>
      <c r="N171" s="1" t="s">
        <v>19</v>
      </c>
      <c r="O171">
        <v>995</v>
      </c>
      <c r="P171">
        <v>86</v>
      </c>
      <c r="Q171">
        <v>22788</v>
      </c>
      <c r="R171" s="33">
        <f>(Posts[[#This Row],[Likes]]+Posts[[#This Row],[Comments]]+Posts[[#This Row],[Shares]])/Posts[[#This Row],[Impressions]]*100</f>
        <v>3.3603177027646249</v>
      </c>
      <c r="S171">
        <v>293</v>
      </c>
      <c r="T171">
        <f>Posts[[#This Row],[New_Followers]]-Posts[[#This Row],[Unfollows]]</f>
        <v>909</v>
      </c>
      <c r="U171" s="32">
        <f>Posts[[#This Row],[Engagement Rate]]/Posts[[#This Row],[Ad_Spend]]</f>
        <v>1.4745996589277799E-4</v>
      </c>
    </row>
    <row r="172" spans="1:21" x14ac:dyDescent="0.25">
      <c r="A172" s="1" t="s">
        <v>231</v>
      </c>
      <c r="B172" s="1" t="s">
        <v>17</v>
      </c>
      <c r="C172" s="2">
        <v>45609</v>
      </c>
      <c r="D172" s="1" t="s">
        <v>51</v>
      </c>
      <c r="E172" t="s">
        <v>55</v>
      </c>
      <c r="F172">
        <v>4628</v>
      </c>
      <c r="G172">
        <v>257</v>
      </c>
      <c r="H172">
        <v>397</v>
      </c>
      <c r="I172">
        <v>36686</v>
      </c>
      <c r="J172">
        <v>54683</v>
      </c>
      <c r="K172">
        <v>98</v>
      </c>
      <c r="L172" s="1" t="s">
        <v>22</v>
      </c>
      <c r="M172" s="1" t="s">
        <v>18</v>
      </c>
      <c r="N172" s="1" t="s">
        <v>19</v>
      </c>
      <c r="O172">
        <v>995</v>
      </c>
      <c r="P172">
        <v>86</v>
      </c>
      <c r="Q172">
        <v>22788</v>
      </c>
      <c r="R172" s="33">
        <f>(Posts[[#This Row],[Likes]]+Posts[[#This Row],[Comments]]+Posts[[#This Row],[Shares]])/Posts[[#This Row],[Impressions]]*100</f>
        <v>14.397862944992641</v>
      </c>
      <c r="S172">
        <v>43</v>
      </c>
      <c r="T172">
        <f>Posts[[#This Row],[New_Followers]]-Posts[[#This Row],[Unfollows]]</f>
        <v>909</v>
      </c>
      <c r="U172" s="32">
        <f>Posts[[#This Row],[Engagement Rate]]/Posts[[#This Row],[Ad_Spend]]</f>
        <v>6.3181775254487625E-4</v>
      </c>
    </row>
    <row r="173" spans="1:21" x14ac:dyDescent="0.25">
      <c r="A173" s="1" t="s">
        <v>232</v>
      </c>
      <c r="B173" s="1" t="s">
        <v>11</v>
      </c>
      <c r="C173" s="2">
        <v>45610</v>
      </c>
      <c r="D173" s="1" t="s">
        <v>54</v>
      </c>
      <c r="E173" t="s">
        <v>435</v>
      </c>
      <c r="F173">
        <v>2422</v>
      </c>
      <c r="G173">
        <v>318</v>
      </c>
      <c r="H173">
        <v>118</v>
      </c>
      <c r="I173">
        <v>25386</v>
      </c>
      <c r="J173">
        <v>20873</v>
      </c>
      <c r="K173">
        <v>100</v>
      </c>
      <c r="L173" s="1" t="s">
        <v>22</v>
      </c>
      <c r="M173" s="1" t="s">
        <v>18</v>
      </c>
      <c r="N173" s="1" t="s">
        <v>19</v>
      </c>
      <c r="O173">
        <v>1402</v>
      </c>
      <c r="P173">
        <v>68</v>
      </c>
      <c r="Q173">
        <v>23125</v>
      </c>
      <c r="R173" s="33">
        <f>(Posts[[#This Row],[Likes]]+Posts[[#This Row],[Comments]]+Posts[[#This Row],[Shares]])/Posts[[#This Row],[Impressions]]*100</f>
        <v>11.258173796580792</v>
      </c>
      <c r="S173">
        <v>76</v>
      </c>
      <c r="T173">
        <f>Posts[[#This Row],[New_Followers]]-Posts[[#This Row],[Unfollows]]</f>
        <v>1334</v>
      </c>
      <c r="U173" s="32">
        <f>Posts[[#This Row],[Engagement Rate]]/Posts[[#This Row],[Ad_Spend]]</f>
        <v>4.8683994796025048E-4</v>
      </c>
    </row>
    <row r="174" spans="1:21" x14ac:dyDescent="0.25">
      <c r="A174" s="1" t="s">
        <v>233</v>
      </c>
      <c r="B174" s="1" t="s">
        <v>17</v>
      </c>
      <c r="C174" s="2">
        <v>45612</v>
      </c>
      <c r="D174" s="1" t="s">
        <v>54</v>
      </c>
      <c r="E174" t="s">
        <v>439</v>
      </c>
      <c r="F174">
        <v>2901</v>
      </c>
      <c r="G174">
        <v>108</v>
      </c>
      <c r="H174">
        <v>86</v>
      </c>
      <c r="I174">
        <v>51777</v>
      </c>
      <c r="J174">
        <v>23773</v>
      </c>
      <c r="K174">
        <v>160</v>
      </c>
      <c r="L174" s="1" t="s">
        <v>22</v>
      </c>
      <c r="M174" s="1" t="s">
        <v>57</v>
      </c>
      <c r="N174" s="1" t="s">
        <v>23</v>
      </c>
      <c r="O174">
        <v>995</v>
      </c>
      <c r="P174">
        <v>86</v>
      </c>
      <c r="Q174">
        <v>22788</v>
      </c>
      <c r="R174" s="33">
        <f>(Posts[[#This Row],[Likes]]+Posts[[#This Row],[Comments]]+Posts[[#This Row],[Shares]])/Posts[[#This Row],[Impressions]]*100</f>
        <v>5.9775576027966082</v>
      </c>
      <c r="S174">
        <v>224</v>
      </c>
      <c r="T174">
        <f>Posts[[#This Row],[New_Followers]]-Posts[[#This Row],[Unfollows]]</f>
        <v>909</v>
      </c>
      <c r="U174" s="32">
        <f>Posts[[#This Row],[Engagement Rate]]/Posts[[#This Row],[Ad_Spend]]</f>
        <v>2.623116378267776E-4</v>
      </c>
    </row>
    <row r="175" spans="1:21" x14ac:dyDescent="0.25">
      <c r="A175" s="1" t="s">
        <v>234</v>
      </c>
      <c r="B175" s="1" t="s">
        <v>17</v>
      </c>
      <c r="C175" s="2">
        <v>45612</v>
      </c>
      <c r="D175" s="1" t="s">
        <v>54</v>
      </c>
      <c r="E175" t="s">
        <v>49</v>
      </c>
      <c r="F175">
        <v>2972</v>
      </c>
      <c r="G175">
        <v>263</v>
      </c>
      <c r="H175">
        <v>308</v>
      </c>
      <c r="I175">
        <v>51740</v>
      </c>
      <c r="J175">
        <v>28214</v>
      </c>
      <c r="K175">
        <v>190</v>
      </c>
      <c r="L175" s="1" t="s">
        <v>22</v>
      </c>
      <c r="M175" s="1" t="s">
        <v>57</v>
      </c>
      <c r="N175" s="1" t="s">
        <v>23</v>
      </c>
      <c r="O175">
        <v>995</v>
      </c>
      <c r="P175">
        <v>86</v>
      </c>
      <c r="Q175">
        <v>22788</v>
      </c>
      <c r="R175" s="33">
        <f>(Posts[[#This Row],[Likes]]+Posts[[#This Row],[Comments]]+Posts[[#This Row],[Shares]])/Posts[[#This Row],[Impressions]]*100</f>
        <v>6.8477000386548124</v>
      </c>
      <c r="S175">
        <v>206</v>
      </c>
      <c r="T175">
        <f>Posts[[#This Row],[New_Followers]]-Posts[[#This Row],[Unfollows]]</f>
        <v>909</v>
      </c>
      <c r="U175" s="32">
        <f>Posts[[#This Row],[Engagement Rate]]/Posts[[#This Row],[Ad_Spend]]</f>
        <v>3.0049587671822066E-4</v>
      </c>
    </row>
    <row r="176" spans="1:21" x14ac:dyDescent="0.25">
      <c r="A176" s="36" t="s">
        <v>235</v>
      </c>
      <c r="B176" s="36" t="s">
        <v>17</v>
      </c>
      <c r="C176" s="40">
        <v>45615</v>
      </c>
      <c r="D176" s="36" t="s">
        <v>54</v>
      </c>
      <c r="E176" s="36" t="s">
        <v>49</v>
      </c>
      <c r="F176" s="36">
        <v>3728</v>
      </c>
      <c r="G176" s="36">
        <v>271</v>
      </c>
      <c r="H176" s="36">
        <v>275</v>
      </c>
      <c r="I176" s="36">
        <v>22827</v>
      </c>
      <c r="J176" s="36">
        <v>37034</v>
      </c>
      <c r="K176" s="36">
        <v>199</v>
      </c>
      <c r="L176" s="36" t="s">
        <v>18</v>
      </c>
      <c r="M176" s="36" t="s">
        <v>57</v>
      </c>
      <c r="N176" s="36" t="s">
        <v>19</v>
      </c>
      <c r="O176" s="36">
        <v>995</v>
      </c>
      <c r="P176" s="36">
        <v>86</v>
      </c>
      <c r="Q176" s="36">
        <v>22788</v>
      </c>
      <c r="R176" s="33">
        <f>(Posts[[#This Row],[Likes]]+Posts[[#This Row],[Comments]]+Posts[[#This Row],[Shares]])/Posts[[#This Row],[Impressions]]*100</f>
        <v>18.723441538528935</v>
      </c>
      <c r="S176">
        <v>9</v>
      </c>
      <c r="T176" s="36">
        <f>Posts[[#This Row],[New_Followers]]-Posts[[#This Row],[Unfollows]]</f>
        <v>909</v>
      </c>
      <c r="U176" s="36">
        <f>Posts[[#This Row],[Engagement Rate]]/Posts[[#This Row],[Ad_Spend]]</f>
        <v>8.2163601625982686E-4</v>
      </c>
    </row>
    <row r="177" spans="1:21" x14ac:dyDescent="0.25">
      <c r="A177" s="1" t="s">
        <v>236</v>
      </c>
      <c r="B177" s="1" t="s">
        <v>17</v>
      </c>
      <c r="C177" s="2">
        <v>45615</v>
      </c>
      <c r="D177" s="1" t="s">
        <v>54</v>
      </c>
      <c r="E177" t="s">
        <v>55</v>
      </c>
      <c r="F177">
        <v>2387</v>
      </c>
      <c r="G177">
        <v>353</v>
      </c>
      <c r="H177">
        <v>78</v>
      </c>
      <c r="I177">
        <v>39745</v>
      </c>
      <c r="J177">
        <v>69226</v>
      </c>
      <c r="K177">
        <v>208</v>
      </c>
      <c r="L177" s="1" t="s">
        <v>22</v>
      </c>
      <c r="M177" s="1" t="s">
        <v>57</v>
      </c>
      <c r="N177" s="1" t="s">
        <v>23</v>
      </c>
      <c r="O177">
        <v>995</v>
      </c>
      <c r="P177">
        <v>86</v>
      </c>
      <c r="Q177">
        <v>22788</v>
      </c>
      <c r="R177" s="33">
        <f>(Posts[[#This Row],[Likes]]+Posts[[#This Row],[Comments]]+Posts[[#This Row],[Shares]])/Posts[[#This Row],[Impressions]]*100</f>
        <v>7.0902000251603976</v>
      </c>
      <c r="S177">
        <v>199</v>
      </c>
      <c r="T177">
        <f>Posts[[#This Row],[New_Followers]]-Posts[[#This Row],[Unfollows]]</f>
        <v>909</v>
      </c>
      <c r="U177" s="32">
        <f>Posts[[#This Row],[Engagement Rate]]/Posts[[#This Row],[Ad_Spend]]</f>
        <v>3.1113744186240117E-4</v>
      </c>
    </row>
    <row r="178" spans="1:21" x14ac:dyDescent="0.25">
      <c r="A178" s="1" t="s">
        <v>237</v>
      </c>
      <c r="B178" s="1" t="s">
        <v>11</v>
      </c>
      <c r="C178" s="2">
        <v>45615</v>
      </c>
      <c r="D178" s="1" t="s">
        <v>54</v>
      </c>
      <c r="E178" t="s">
        <v>436</v>
      </c>
      <c r="F178">
        <v>2525</v>
      </c>
      <c r="G178">
        <v>272</v>
      </c>
      <c r="H178">
        <v>294</v>
      </c>
      <c r="I178">
        <v>51875</v>
      </c>
      <c r="J178">
        <v>24732</v>
      </c>
      <c r="K178">
        <v>92</v>
      </c>
      <c r="L178" s="1" t="s">
        <v>26</v>
      </c>
      <c r="M178" s="1" t="s">
        <v>57</v>
      </c>
      <c r="N178" s="1" t="s">
        <v>23</v>
      </c>
      <c r="O178">
        <v>1402</v>
      </c>
      <c r="P178">
        <v>68</v>
      </c>
      <c r="Q178">
        <v>23125</v>
      </c>
      <c r="R178" s="33">
        <f>(Posts[[#This Row],[Likes]]+Posts[[#This Row],[Comments]]+Posts[[#This Row],[Shares]])/Posts[[#This Row],[Impressions]]*100</f>
        <v>5.9585542168674701</v>
      </c>
      <c r="S178">
        <v>225</v>
      </c>
      <c r="T178">
        <f>Posts[[#This Row],[New_Followers]]-Posts[[#This Row],[Unfollows]]</f>
        <v>1334</v>
      </c>
      <c r="U178" s="32">
        <f>Posts[[#This Row],[Engagement Rate]]/Posts[[#This Row],[Ad_Spend]]</f>
        <v>2.5766720937805276E-4</v>
      </c>
    </row>
    <row r="179" spans="1:21" x14ac:dyDescent="0.25">
      <c r="A179" s="1" t="s">
        <v>238</v>
      </c>
      <c r="B179" s="1" t="s">
        <v>11</v>
      </c>
      <c r="C179" s="2">
        <v>45617</v>
      </c>
      <c r="D179" s="1" t="s">
        <v>54</v>
      </c>
      <c r="E179" t="s">
        <v>435</v>
      </c>
      <c r="F179">
        <v>4581</v>
      </c>
      <c r="G179">
        <v>181</v>
      </c>
      <c r="H179">
        <v>112</v>
      </c>
      <c r="I179">
        <v>35221</v>
      </c>
      <c r="J179">
        <v>28797</v>
      </c>
      <c r="K179">
        <v>164</v>
      </c>
      <c r="L179" s="1" t="s">
        <v>22</v>
      </c>
      <c r="M179" s="1" t="s">
        <v>18</v>
      </c>
      <c r="N179" s="1" t="s">
        <v>19</v>
      </c>
      <c r="O179">
        <v>1402</v>
      </c>
      <c r="P179">
        <v>68</v>
      </c>
      <c r="Q179">
        <v>23125</v>
      </c>
      <c r="R179" s="33">
        <f>(Posts[[#This Row],[Likes]]+Posts[[#This Row],[Comments]]+Posts[[#This Row],[Shares]])/Posts[[#This Row],[Impressions]]*100</f>
        <v>13.838335084182733</v>
      </c>
      <c r="S179">
        <v>49</v>
      </c>
      <c r="T179">
        <f>Posts[[#This Row],[New_Followers]]-Posts[[#This Row],[Unfollows]]</f>
        <v>1334</v>
      </c>
      <c r="U179" s="32">
        <f>Posts[[#This Row],[Engagement Rate]]/Posts[[#This Row],[Ad_Spend]]</f>
        <v>5.9841449012682088E-4</v>
      </c>
    </row>
    <row r="180" spans="1:21" x14ac:dyDescent="0.25">
      <c r="A180" s="1" t="s">
        <v>239</v>
      </c>
      <c r="B180" s="1" t="s">
        <v>17</v>
      </c>
      <c r="C180" s="2">
        <v>45619</v>
      </c>
      <c r="D180" s="1" t="s">
        <v>54</v>
      </c>
      <c r="E180" t="s">
        <v>438</v>
      </c>
      <c r="F180">
        <v>4318</v>
      </c>
      <c r="G180">
        <v>371</v>
      </c>
      <c r="H180">
        <v>329</v>
      </c>
      <c r="I180">
        <v>32347</v>
      </c>
      <c r="J180">
        <v>68956</v>
      </c>
      <c r="K180">
        <v>259</v>
      </c>
      <c r="L180" s="1" t="s">
        <v>22</v>
      </c>
      <c r="M180" s="1" t="s">
        <v>57</v>
      </c>
      <c r="N180" s="1" t="s">
        <v>23</v>
      </c>
      <c r="O180">
        <v>995</v>
      </c>
      <c r="P180">
        <v>86</v>
      </c>
      <c r="Q180">
        <v>22788</v>
      </c>
      <c r="R180" s="33">
        <f>(Posts[[#This Row],[Likes]]+Posts[[#This Row],[Comments]]+Posts[[#This Row],[Shares]])/Posts[[#This Row],[Impressions]]*100</f>
        <v>15.513030574705535</v>
      </c>
      <c r="S180">
        <v>33</v>
      </c>
      <c r="T180">
        <f>Posts[[#This Row],[New_Followers]]-Posts[[#This Row],[Unfollows]]</f>
        <v>909</v>
      </c>
      <c r="U180" s="32">
        <f>Posts[[#This Row],[Engagement Rate]]/Posts[[#This Row],[Ad_Spend]]</f>
        <v>6.8075436961144182E-4</v>
      </c>
    </row>
    <row r="181" spans="1:21" x14ac:dyDescent="0.25">
      <c r="A181" s="1" t="s">
        <v>240</v>
      </c>
      <c r="B181" s="1" t="s">
        <v>11</v>
      </c>
      <c r="C181" s="2">
        <v>45621</v>
      </c>
      <c r="D181" s="1" t="s">
        <v>54</v>
      </c>
      <c r="E181" t="s">
        <v>439</v>
      </c>
      <c r="F181">
        <v>1341</v>
      </c>
      <c r="G181">
        <v>472</v>
      </c>
      <c r="H181">
        <v>238</v>
      </c>
      <c r="I181">
        <v>51386</v>
      </c>
      <c r="J181">
        <v>51706</v>
      </c>
      <c r="K181">
        <v>133</v>
      </c>
      <c r="L181" s="1" t="s">
        <v>26</v>
      </c>
      <c r="M181" s="1" t="s">
        <v>57</v>
      </c>
      <c r="N181" s="1" t="s">
        <v>23</v>
      </c>
      <c r="O181">
        <v>1402</v>
      </c>
      <c r="P181">
        <v>68</v>
      </c>
      <c r="Q181">
        <v>23125</v>
      </c>
      <c r="R181" s="33">
        <f>(Posts[[#This Row],[Likes]]+Posts[[#This Row],[Comments]]+Posts[[#This Row],[Shares]])/Posts[[#This Row],[Impressions]]*100</f>
        <v>3.9913595142645857</v>
      </c>
      <c r="S181">
        <v>277</v>
      </c>
      <c r="T181">
        <f>Posts[[#This Row],[New_Followers]]-Posts[[#This Row],[Unfollows]]</f>
        <v>1334</v>
      </c>
      <c r="U181" s="32">
        <f>Posts[[#This Row],[Engagement Rate]]/Posts[[#This Row],[Ad_Spend]]</f>
        <v>1.7259933034657668E-4</v>
      </c>
    </row>
    <row r="182" spans="1:21" x14ac:dyDescent="0.25">
      <c r="A182" s="1" t="s">
        <v>241</v>
      </c>
      <c r="B182" s="1" t="s">
        <v>17</v>
      </c>
      <c r="C182" s="2">
        <v>45624</v>
      </c>
      <c r="D182" s="1" t="s">
        <v>51</v>
      </c>
      <c r="E182" t="s">
        <v>438</v>
      </c>
      <c r="F182">
        <v>1131</v>
      </c>
      <c r="G182">
        <v>100</v>
      </c>
      <c r="H182">
        <v>116</v>
      </c>
      <c r="I182">
        <v>48437</v>
      </c>
      <c r="J182">
        <v>72704</v>
      </c>
      <c r="K182">
        <v>236</v>
      </c>
      <c r="L182" s="1" t="s">
        <v>26</v>
      </c>
      <c r="M182" s="1" t="s">
        <v>14</v>
      </c>
      <c r="N182" s="1" t="s">
        <v>19</v>
      </c>
      <c r="O182">
        <v>995</v>
      </c>
      <c r="P182">
        <v>86</v>
      </c>
      <c r="Q182">
        <v>22788</v>
      </c>
      <c r="R182" s="33">
        <f>(Posts[[#This Row],[Likes]]+Posts[[#This Row],[Comments]]+Posts[[#This Row],[Shares]])/Posts[[#This Row],[Impressions]]*100</f>
        <v>2.7809319322005903</v>
      </c>
      <c r="S182">
        <v>299</v>
      </c>
      <c r="T182">
        <f>Posts[[#This Row],[New_Followers]]-Posts[[#This Row],[Unfollows]]</f>
        <v>909</v>
      </c>
      <c r="U182" s="32">
        <f>Posts[[#This Row],[Engagement Rate]]/Posts[[#This Row],[Ad_Spend]]</f>
        <v>1.220349276900382E-4</v>
      </c>
    </row>
    <row r="183" spans="1:21" x14ac:dyDescent="0.25">
      <c r="A183" s="1" t="s">
        <v>242</v>
      </c>
      <c r="B183" s="1" t="s">
        <v>11</v>
      </c>
      <c r="C183" s="2">
        <v>45625</v>
      </c>
      <c r="D183" s="1" t="s">
        <v>54</v>
      </c>
      <c r="E183" t="s">
        <v>436</v>
      </c>
      <c r="F183">
        <v>2824</v>
      </c>
      <c r="G183">
        <v>425</v>
      </c>
      <c r="H183">
        <v>274</v>
      </c>
      <c r="I183">
        <v>31004</v>
      </c>
      <c r="J183">
        <v>53488</v>
      </c>
      <c r="K183">
        <v>268</v>
      </c>
      <c r="L183" s="1" t="s">
        <v>22</v>
      </c>
      <c r="M183" s="1" t="s">
        <v>18</v>
      </c>
      <c r="N183" s="1" t="s">
        <v>19</v>
      </c>
      <c r="O183">
        <v>1402</v>
      </c>
      <c r="P183">
        <v>68</v>
      </c>
      <c r="Q183">
        <v>23125</v>
      </c>
      <c r="R183" s="33">
        <f>(Posts[[#This Row],[Likes]]+Posts[[#This Row],[Comments]]+Posts[[#This Row],[Shares]])/Posts[[#This Row],[Impressions]]*100</f>
        <v>11.363049929041415</v>
      </c>
      <c r="S183">
        <v>73</v>
      </c>
      <c r="T183">
        <f>Posts[[#This Row],[New_Followers]]-Posts[[#This Row],[Unfollows]]</f>
        <v>1334</v>
      </c>
      <c r="U183" s="32">
        <f>Posts[[#This Row],[Engagement Rate]]/Posts[[#This Row],[Ad_Spend]]</f>
        <v>4.9137513206665574E-4</v>
      </c>
    </row>
    <row r="184" spans="1:21" x14ac:dyDescent="0.25">
      <c r="A184" s="1" t="s">
        <v>243</v>
      </c>
      <c r="B184" s="1" t="s">
        <v>17</v>
      </c>
      <c r="C184" s="2">
        <v>45626</v>
      </c>
      <c r="D184" s="1" t="s">
        <v>51</v>
      </c>
      <c r="E184" t="s">
        <v>49</v>
      </c>
      <c r="F184">
        <v>4963</v>
      </c>
      <c r="G184">
        <v>255</v>
      </c>
      <c r="H184">
        <v>193</v>
      </c>
      <c r="I184">
        <v>44386</v>
      </c>
      <c r="J184">
        <v>28415</v>
      </c>
      <c r="K184">
        <v>174</v>
      </c>
      <c r="L184" s="1" t="s">
        <v>14</v>
      </c>
      <c r="M184" s="1" t="s">
        <v>18</v>
      </c>
      <c r="N184" s="1" t="s">
        <v>19</v>
      </c>
      <c r="O184">
        <v>995</v>
      </c>
      <c r="P184">
        <v>86</v>
      </c>
      <c r="Q184">
        <v>22788</v>
      </c>
      <c r="R184" s="33">
        <f>(Posts[[#This Row],[Likes]]+Posts[[#This Row],[Comments]]+Posts[[#This Row],[Shares]])/Posts[[#This Row],[Impressions]]*100</f>
        <v>12.190780876853061</v>
      </c>
      <c r="S184">
        <v>63</v>
      </c>
      <c r="T184">
        <f>Posts[[#This Row],[New_Followers]]-Posts[[#This Row],[Unfollows]]</f>
        <v>909</v>
      </c>
      <c r="U184" s="32">
        <f>Posts[[#This Row],[Engagement Rate]]/Posts[[#This Row],[Ad_Spend]]</f>
        <v>5.3496493228247591E-4</v>
      </c>
    </row>
    <row r="185" spans="1:21" x14ac:dyDescent="0.25">
      <c r="A185" s="1" t="s">
        <v>244</v>
      </c>
      <c r="B185" s="1" t="s">
        <v>11</v>
      </c>
      <c r="C185" s="2">
        <v>45628</v>
      </c>
      <c r="D185" s="1" t="s">
        <v>54</v>
      </c>
      <c r="E185" t="s">
        <v>55</v>
      </c>
      <c r="F185">
        <v>3194</v>
      </c>
      <c r="G185">
        <v>292</v>
      </c>
      <c r="H185">
        <v>245</v>
      </c>
      <c r="I185">
        <v>56371</v>
      </c>
      <c r="J185">
        <v>65597</v>
      </c>
      <c r="K185">
        <v>163</v>
      </c>
      <c r="L185" s="1" t="s">
        <v>22</v>
      </c>
      <c r="M185" s="1" t="s">
        <v>18</v>
      </c>
      <c r="N185" s="1" t="s">
        <v>19</v>
      </c>
      <c r="O185">
        <v>1402</v>
      </c>
      <c r="P185">
        <v>68</v>
      </c>
      <c r="Q185">
        <v>23125</v>
      </c>
      <c r="R185" s="33">
        <f>(Posts[[#This Row],[Likes]]+Posts[[#This Row],[Comments]]+Posts[[#This Row],[Shares]])/Posts[[#This Row],[Impressions]]*100</f>
        <v>6.6186514342481058</v>
      </c>
      <c r="S185">
        <v>209</v>
      </c>
      <c r="T185">
        <f>Posts[[#This Row],[New_Followers]]-Posts[[#This Row],[Unfollows]]</f>
        <v>1334</v>
      </c>
      <c r="U185" s="32">
        <f>Posts[[#This Row],[Engagement Rate]]/Posts[[#This Row],[Ad_Spend]]</f>
        <v>2.8621195391343162E-4</v>
      </c>
    </row>
    <row r="186" spans="1:21" x14ac:dyDescent="0.25">
      <c r="A186" s="1" t="s">
        <v>245</v>
      </c>
      <c r="B186" s="1" t="s">
        <v>17</v>
      </c>
      <c r="C186" s="2">
        <v>45629</v>
      </c>
      <c r="D186" s="1" t="s">
        <v>51</v>
      </c>
      <c r="E186" t="s">
        <v>437</v>
      </c>
      <c r="F186">
        <v>3092</v>
      </c>
      <c r="G186">
        <v>177</v>
      </c>
      <c r="H186">
        <v>81</v>
      </c>
      <c r="I186">
        <v>47533</v>
      </c>
      <c r="J186">
        <v>29220</v>
      </c>
      <c r="K186">
        <v>121</v>
      </c>
      <c r="L186" s="1" t="s">
        <v>14</v>
      </c>
      <c r="M186" s="1" t="s">
        <v>18</v>
      </c>
      <c r="N186" s="1" t="s">
        <v>19</v>
      </c>
      <c r="O186">
        <v>995</v>
      </c>
      <c r="P186">
        <v>86</v>
      </c>
      <c r="Q186">
        <v>22788</v>
      </c>
      <c r="R186" s="33">
        <f>(Posts[[#This Row],[Likes]]+Posts[[#This Row],[Comments]]+Posts[[#This Row],[Shares]])/Posts[[#This Row],[Impressions]]*100</f>
        <v>7.0477352576105021</v>
      </c>
      <c r="S186">
        <v>202</v>
      </c>
      <c r="T186">
        <f>Posts[[#This Row],[New_Followers]]-Posts[[#This Row],[Unfollows]]</f>
        <v>909</v>
      </c>
      <c r="U186" s="32">
        <f>Posts[[#This Row],[Engagement Rate]]/Posts[[#This Row],[Ad_Spend]]</f>
        <v>3.0927397128359234E-4</v>
      </c>
    </row>
    <row r="187" spans="1:21" x14ac:dyDescent="0.25">
      <c r="A187" s="1" t="s">
        <v>246</v>
      </c>
      <c r="B187" s="1" t="s">
        <v>11</v>
      </c>
      <c r="C187" s="2">
        <v>45629</v>
      </c>
      <c r="D187" s="1" t="s">
        <v>54</v>
      </c>
      <c r="E187" t="s">
        <v>438</v>
      </c>
      <c r="F187">
        <v>3173</v>
      </c>
      <c r="G187">
        <v>229</v>
      </c>
      <c r="H187">
        <v>197</v>
      </c>
      <c r="I187">
        <v>29604</v>
      </c>
      <c r="J187">
        <v>21809</v>
      </c>
      <c r="K187">
        <v>272</v>
      </c>
      <c r="L187" s="1" t="s">
        <v>22</v>
      </c>
      <c r="M187" s="1" t="s">
        <v>18</v>
      </c>
      <c r="N187" s="1" t="s">
        <v>19</v>
      </c>
      <c r="O187">
        <v>1402</v>
      </c>
      <c r="P187">
        <v>68</v>
      </c>
      <c r="Q187">
        <v>23125</v>
      </c>
      <c r="R187" s="33">
        <f>(Posts[[#This Row],[Likes]]+Posts[[#This Row],[Comments]]+Posts[[#This Row],[Shares]])/Posts[[#This Row],[Impressions]]*100</f>
        <v>12.15714092690177</v>
      </c>
      <c r="S187">
        <v>64</v>
      </c>
      <c r="T187">
        <f>Posts[[#This Row],[New_Followers]]-Posts[[#This Row],[Unfollows]]</f>
        <v>1334</v>
      </c>
      <c r="U187" s="32">
        <f>Posts[[#This Row],[Engagement Rate]]/Posts[[#This Row],[Ad_Spend]]</f>
        <v>5.2571420224440085E-4</v>
      </c>
    </row>
    <row r="188" spans="1:21" x14ac:dyDescent="0.25">
      <c r="A188" s="1" t="s">
        <v>247</v>
      </c>
      <c r="B188" s="1" t="s">
        <v>17</v>
      </c>
      <c r="C188" s="2">
        <v>45630</v>
      </c>
      <c r="D188" s="1" t="s">
        <v>54</v>
      </c>
      <c r="E188" t="s">
        <v>437</v>
      </c>
      <c r="F188">
        <v>2357</v>
      </c>
      <c r="G188">
        <v>274</v>
      </c>
      <c r="H188">
        <v>172</v>
      </c>
      <c r="I188">
        <v>21566</v>
      </c>
      <c r="J188">
        <v>66829</v>
      </c>
      <c r="K188">
        <v>284</v>
      </c>
      <c r="L188" s="1" t="s">
        <v>18</v>
      </c>
      <c r="M188" s="1" t="s">
        <v>57</v>
      </c>
      <c r="N188" s="1" t="s">
        <v>19</v>
      </c>
      <c r="O188">
        <v>995</v>
      </c>
      <c r="P188">
        <v>86</v>
      </c>
      <c r="Q188">
        <v>22788</v>
      </c>
      <c r="R188" s="33">
        <f>(Posts[[#This Row],[Likes]]+Posts[[#This Row],[Comments]]+Posts[[#This Row],[Shares]])/Posts[[#This Row],[Impressions]]*100</f>
        <v>12.997310581470833</v>
      </c>
      <c r="S188">
        <v>56</v>
      </c>
      <c r="T188">
        <f>Posts[[#This Row],[New_Followers]]-Posts[[#This Row],[Unfollows]]</f>
        <v>909</v>
      </c>
      <c r="U188" s="32">
        <f>Posts[[#This Row],[Engagement Rate]]/Posts[[#This Row],[Ad_Spend]]</f>
        <v>5.7035766989076847E-4</v>
      </c>
    </row>
    <row r="189" spans="1:21" x14ac:dyDescent="0.25">
      <c r="A189" s="1" t="s">
        <v>248</v>
      </c>
      <c r="B189" s="1" t="s">
        <v>11</v>
      </c>
      <c r="C189" s="2">
        <v>45630</v>
      </c>
      <c r="D189" s="1" t="s">
        <v>54</v>
      </c>
      <c r="E189" t="s">
        <v>437</v>
      </c>
      <c r="F189">
        <v>2601</v>
      </c>
      <c r="G189">
        <v>336</v>
      </c>
      <c r="H189">
        <v>260</v>
      </c>
      <c r="I189">
        <v>32368</v>
      </c>
      <c r="J189">
        <v>49028</v>
      </c>
      <c r="K189">
        <v>120</v>
      </c>
      <c r="L189" s="1" t="s">
        <v>22</v>
      </c>
      <c r="M189" s="1" t="s">
        <v>18</v>
      </c>
      <c r="N189" s="1" t="s">
        <v>19</v>
      </c>
      <c r="O189">
        <v>1402</v>
      </c>
      <c r="P189">
        <v>68</v>
      </c>
      <c r="Q189">
        <v>23125</v>
      </c>
      <c r="R189" s="33">
        <f>(Posts[[#This Row],[Likes]]+Posts[[#This Row],[Comments]]+Posts[[#This Row],[Shares]])/Posts[[#This Row],[Impressions]]*100</f>
        <v>9.8770390509144832</v>
      </c>
      <c r="S189">
        <v>109</v>
      </c>
      <c r="T189">
        <f>Posts[[#This Row],[New_Followers]]-Posts[[#This Row],[Unfollows]]</f>
        <v>1334</v>
      </c>
      <c r="U189" s="32">
        <f>Posts[[#This Row],[Engagement Rate]]/Posts[[#This Row],[Ad_Spend]]</f>
        <v>4.2711520220170736E-4</v>
      </c>
    </row>
    <row r="190" spans="1:21" x14ac:dyDescent="0.25">
      <c r="A190" s="1" t="s">
        <v>249</v>
      </c>
      <c r="B190" s="1" t="s">
        <v>12</v>
      </c>
      <c r="C190" s="2">
        <v>45634</v>
      </c>
      <c r="D190" s="1" t="s">
        <v>54</v>
      </c>
      <c r="E190" t="s">
        <v>55</v>
      </c>
      <c r="F190">
        <v>1424</v>
      </c>
      <c r="G190">
        <v>396</v>
      </c>
      <c r="H190">
        <v>312</v>
      </c>
      <c r="I190">
        <v>59517</v>
      </c>
      <c r="J190">
        <v>46102</v>
      </c>
      <c r="K190">
        <v>239</v>
      </c>
      <c r="L190" s="1" t="s">
        <v>26</v>
      </c>
      <c r="M190" s="1" t="s">
        <v>13</v>
      </c>
      <c r="N190" s="1" t="s">
        <v>23</v>
      </c>
      <c r="O190">
        <v>1472</v>
      </c>
      <c r="P190">
        <v>296</v>
      </c>
      <c r="Q190">
        <v>7810</v>
      </c>
      <c r="R190" s="33">
        <f>(Posts[[#This Row],[Likes]]+Posts[[#This Row],[Comments]]+Posts[[#This Row],[Shares]])/Posts[[#This Row],[Impressions]]*100</f>
        <v>3.5821698002251456</v>
      </c>
      <c r="S190">
        <v>284</v>
      </c>
      <c r="T190">
        <f>Posts[[#This Row],[New_Followers]]-Posts[[#This Row],[Unfollows]]</f>
        <v>1176</v>
      </c>
      <c r="U190" s="32">
        <f>Posts[[#This Row],[Engagement Rate]]/Posts[[#This Row],[Ad_Spend]]</f>
        <v>4.5866450707108137E-4</v>
      </c>
    </row>
    <row r="191" spans="1:21" x14ac:dyDescent="0.25">
      <c r="A191" s="1" t="s">
        <v>250</v>
      </c>
      <c r="B191" s="1" t="s">
        <v>17</v>
      </c>
      <c r="C191" s="2">
        <v>45636</v>
      </c>
      <c r="D191" s="1" t="s">
        <v>54</v>
      </c>
      <c r="E191" t="s">
        <v>437</v>
      </c>
      <c r="F191">
        <v>4673</v>
      </c>
      <c r="G191">
        <v>270</v>
      </c>
      <c r="H191">
        <v>93</v>
      </c>
      <c r="I191">
        <v>45260</v>
      </c>
      <c r="J191">
        <v>57513</v>
      </c>
      <c r="K191">
        <v>103</v>
      </c>
      <c r="L191" s="1" t="s">
        <v>18</v>
      </c>
      <c r="M191" s="1" t="s">
        <v>57</v>
      </c>
      <c r="N191" s="1" t="s">
        <v>19</v>
      </c>
      <c r="O191">
        <v>995</v>
      </c>
      <c r="P191">
        <v>86</v>
      </c>
      <c r="Q191">
        <v>22788</v>
      </c>
      <c r="R191" s="33">
        <f>(Posts[[#This Row],[Likes]]+Posts[[#This Row],[Comments]]+Posts[[#This Row],[Shares]])/Posts[[#This Row],[Impressions]]*100</f>
        <v>11.126822801590809</v>
      </c>
      <c r="S191">
        <v>78</v>
      </c>
      <c r="T191">
        <f>Posts[[#This Row],[New_Followers]]-Posts[[#This Row],[Unfollows]]</f>
        <v>909</v>
      </c>
      <c r="U191" s="32">
        <f>Posts[[#This Row],[Engagement Rate]]/Posts[[#This Row],[Ad_Spend]]</f>
        <v>4.8827553105102725E-4</v>
      </c>
    </row>
    <row r="192" spans="1:21" x14ac:dyDescent="0.25">
      <c r="A192" s="1" t="s">
        <v>251</v>
      </c>
      <c r="B192" s="1" t="s">
        <v>12</v>
      </c>
      <c r="C192" s="2">
        <v>45636</v>
      </c>
      <c r="D192" s="1" t="s">
        <v>54</v>
      </c>
      <c r="E192" t="s">
        <v>439</v>
      </c>
      <c r="F192">
        <v>2569</v>
      </c>
      <c r="G192">
        <v>140</v>
      </c>
      <c r="H192">
        <v>375</v>
      </c>
      <c r="I192">
        <v>38372</v>
      </c>
      <c r="J192">
        <v>22102</v>
      </c>
      <c r="K192">
        <v>255</v>
      </c>
      <c r="L192" s="1" t="s">
        <v>26</v>
      </c>
      <c r="M192" s="1" t="s">
        <v>13</v>
      </c>
      <c r="N192" s="1" t="s">
        <v>23</v>
      </c>
      <c r="O192">
        <v>1472</v>
      </c>
      <c r="P192">
        <v>296</v>
      </c>
      <c r="Q192">
        <v>7810</v>
      </c>
      <c r="R192" s="33">
        <f>(Posts[[#This Row],[Likes]]+Posts[[#This Row],[Comments]]+Posts[[#This Row],[Shares]])/Posts[[#This Row],[Impressions]]*100</f>
        <v>8.0371103929948919</v>
      </c>
      <c r="S192">
        <v>177</v>
      </c>
      <c r="T192">
        <f>Posts[[#This Row],[New_Followers]]-Posts[[#This Row],[Unfollows]]</f>
        <v>1176</v>
      </c>
      <c r="U192" s="32">
        <f>Posts[[#This Row],[Engagement Rate]]/Posts[[#This Row],[Ad_Spend]]</f>
        <v>1.0290794357227775E-3</v>
      </c>
    </row>
    <row r="193" spans="1:21" x14ac:dyDescent="0.25">
      <c r="A193" s="1" t="s">
        <v>252</v>
      </c>
      <c r="B193" s="1" t="s">
        <v>17</v>
      </c>
      <c r="C193" s="2">
        <v>45636</v>
      </c>
      <c r="D193" s="1" t="s">
        <v>51</v>
      </c>
      <c r="E193" t="s">
        <v>436</v>
      </c>
      <c r="F193">
        <v>2267</v>
      </c>
      <c r="G193">
        <v>230</v>
      </c>
      <c r="H193">
        <v>243</v>
      </c>
      <c r="I193">
        <v>27904</v>
      </c>
      <c r="J193">
        <v>69771</v>
      </c>
      <c r="K193">
        <v>255</v>
      </c>
      <c r="L193" s="1" t="s">
        <v>26</v>
      </c>
      <c r="M193" s="1" t="s">
        <v>14</v>
      </c>
      <c r="N193" s="1" t="s">
        <v>19</v>
      </c>
      <c r="O193">
        <v>995</v>
      </c>
      <c r="P193">
        <v>86</v>
      </c>
      <c r="Q193">
        <v>22788</v>
      </c>
      <c r="R193" s="33">
        <f>(Posts[[#This Row],[Likes]]+Posts[[#This Row],[Comments]]+Posts[[#This Row],[Shares]])/Posts[[#This Row],[Impressions]]*100</f>
        <v>9.8193807339449553</v>
      </c>
      <c r="S193">
        <v>112</v>
      </c>
      <c r="T193">
        <f>Posts[[#This Row],[New_Followers]]-Posts[[#This Row],[Unfollows]]</f>
        <v>909</v>
      </c>
      <c r="U193" s="32">
        <f>Posts[[#This Row],[Engagement Rate]]/Posts[[#This Row],[Ad_Spend]]</f>
        <v>4.3090138379607492E-4</v>
      </c>
    </row>
    <row r="194" spans="1:21" x14ac:dyDescent="0.25">
      <c r="A194" s="10" t="s">
        <v>253</v>
      </c>
      <c r="B194" s="10" t="s">
        <v>17</v>
      </c>
      <c r="C194" s="23">
        <v>45639</v>
      </c>
      <c r="D194" s="10" t="s">
        <v>51</v>
      </c>
      <c r="E194" s="10" t="s">
        <v>438</v>
      </c>
      <c r="F194" s="10">
        <v>4984</v>
      </c>
      <c r="G194" s="10">
        <v>300</v>
      </c>
      <c r="H194" s="10">
        <v>338</v>
      </c>
      <c r="I194" s="10">
        <v>32900</v>
      </c>
      <c r="J194" s="10">
        <v>31691</v>
      </c>
      <c r="K194" s="10">
        <v>160</v>
      </c>
      <c r="L194" s="10" t="s">
        <v>14</v>
      </c>
      <c r="M194" s="10" t="s">
        <v>18</v>
      </c>
      <c r="N194" s="10" t="s">
        <v>19</v>
      </c>
      <c r="O194" s="10">
        <v>995</v>
      </c>
      <c r="P194" s="10">
        <v>86</v>
      </c>
      <c r="Q194" s="10">
        <v>22788</v>
      </c>
      <c r="R194" s="34">
        <f>(Posts[[#This Row],[Likes]]+Posts[[#This Row],[Comments]]+Posts[[#This Row],[Shares]])/Posts[[#This Row],[Impressions]]*100</f>
        <v>17.088145896656535</v>
      </c>
      <c r="S194">
        <v>17</v>
      </c>
      <c r="T194" s="10">
        <f>Posts[[#This Row],[New_Followers]]-Posts[[#This Row],[Unfollows]]</f>
        <v>909</v>
      </c>
      <c r="U194" s="10">
        <f>Posts[[#This Row],[Engagement Rate]]/Posts[[#This Row],[Ad_Spend]]</f>
        <v>7.4987475410990591E-4</v>
      </c>
    </row>
    <row r="195" spans="1:21" x14ac:dyDescent="0.25">
      <c r="A195" s="1" t="s">
        <v>254</v>
      </c>
      <c r="B195" s="1" t="s">
        <v>11</v>
      </c>
      <c r="C195" s="2">
        <v>45640</v>
      </c>
      <c r="D195" s="1" t="s">
        <v>51</v>
      </c>
      <c r="E195" t="s">
        <v>439</v>
      </c>
      <c r="F195">
        <v>3812</v>
      </c>
      <c r="G195">
        <v>321</v>
      </c>
      <c r="H195">
        <v>289</v>
      </c>
      <c r="I195">
        <v>59838</v>
      </c>
      <c r="J195">
        <v>36337</v>
      </c>
      <c r="K195">
        <v>161</v>
      </c>
      <c r="L195" s="1" t="s">
        <v>18</v>
      </c>
      <c r="M195" s="1" t="s">
        <v>57</v>
      </c>
      <c r="N195" s="1" t="s">
        <v>15</v>
      </c>
      <c r="O195">
        <v>1402</v>
      </c>
      <c r="P195">
        <v>68</v>
      </c>
      <c r="Q195">
        <v>23125</v>
      </c>
      <c r="R195" s="33">
        <f>(Posts[[#This Row],[Likes]]+Posts[[#This Row],[Comments]]+Posts[[#This Row],[Shares]])/Posts[[#This Row],[Impressions]]*100</f>
        <v>7.3899528727564414</v>
      </c>
      <c r="S195">
        <v>192</v>
      </c>
      <c r="T195">
        <f>Posts[[#This Row],[New_Followers]]-Posts[[#This Row],[Unfollows]]</f>
        <v>1334</v>
      </c>
      <c r="U195" s="32">
        <f>Posts[[#This Row],[Engagement Rate]]/Posts[[#This Row],[Ad_Spend]]</f>
        <v>3.1956552963271096E-4</v>
      </c>
    </row>
    <row r="196" spans="1:21" x14ac:dyDescent="0.25">
      <c r="A196" s="1" t="s">
        <v>255</v>
      </c>
      <c r="B196" s="1" t="s">
        <v>17</v>
      </c>
      <c r="C196" s="2">
        <v>45643</v>
      </c>
      <c r="D196" s="1" t="s">
        <v>51</v>
      </c>
      <c r="E196" t="s">
        <v>435</v>
      </c>
      <c r="F196">
        <v>1316</v>
      </c>
      <c r="G196">
        <v>472</v>
      </c>
      <c r="H196">
        <v>286</v>
      </c>
      <c r="I196">
        <v>44692</v>
      </c>
      <c r="J196">
        <v>53343</v>
      </c>
      <c r="K196">
        <v>227</v>
      </c>
      <c r="L196" s="1" t="s">
        <v>26</v>
      </c>
      <c r="M196" s="1" t="s">
        <v>14</v>
      </c>
      <c r="N196" s="1" t="s">
        <v>19</v>
      </c>
      <c r="O196">
        <v>995</v>
      </c>
      <c r="P196">
        <v>86</v>
      </c>
      <c r="Q196">
        <v>22788</v>
      </c>
      <c r="R196" s="33">
        <f>(Posts[[#This Row],[Likes]]+Posts[[#This Row],[Comments]]+Posts[[#This Row],[Shares]])/Posts[[#This Row],[Impressions]]*100</f>
        <v>4.6406515707509168</v>
      </c>
      <c r="S196">
        <v>263</v>
      </c>
      <c r="T196">
        <f>Posts[[#This Row],[New_Followers]]-Posts[[#This Row],[Unfollows]]</f>
        <v>909</v>
      </c>
      <c r="U196" s="32">
        <f>Posts[[#This Row],[Engagement Rate]]/Posts[[#This Row],[Ad_Spend]]</f>
        <v>2.0364453092640498E-4</v>
      </c>
    </row>
    <row r="197" spans="1:21" x14ac:dyDescent="0.25">
      <c r="A197" s="36" t="s">
        <v>256</v>
      </c>
      <c r="B197" s="36" t="s">
        <v>17</v>
      </c>
      <c r="C197" s="40">
        <v>45645</v>
      </c>
      <c r="D197" s="36" t="s">
        <v>51</v>
      </c>
      <c r="E197" s="36" t="s">
        <v>89</v>
      </c>
      <c r="F197" s="36">
        <v>4674</v>
      </c>
      <c r="G197" s="36">
        <v>409</v>
      </c>
      <c r="H197" s="36">
        <v>327</v>
      </c>
      <c r="I197" s="36">
        <v>20756</v>
      </c>
      <c r="J197" s="36">
        <v>63599</v>
      </c>
      <c r="K197" s="36">
        <v>212</v>
      </c>
      <c r="L197" s="36" t="s">
        <v>22</v>
      </c>
      <c r="M197" s="36" t="s">
        <v>18</v>
      </c>
      <c r="N197" s="36" t="s">
        <v>19</v>
      </c>
      <c r="O197" s="36">
        <v>995</v>
      </c>
      <c r="P197" s="36">
        <v>86</v>
      </c>
      <c r="Q197" s="36">
        <v>22788</v>
      </c>
      <c r="R197" s="33">
        <f>(Posts[[#This Row],[Likes]]+Posts[[#This Row],[Comments]]+Posts[[#This Row],[Shares]])/Posts[[#This Row],[Impressions]]*100</f>
        <v>26.064752360763155</v>
      </c>
      <c r="S197">
        <v>1</v>
      </c>
      <c r="T197" s="36">
        <f>Posts[[#This Row],[New_Followers]]-Posts[[#This Row],[Unfollows]]</f>
        <v>909</v>
      </c>
      <c r="U197" s="36">
        <f>Posts[[#This Row],[Engagement Rate]]/Posts[[#This Row],[Ad_Spend]]</f>
        <v>1.1437928892734403E-3</v>
      </c>
    </row>
    <row r="198" spans="1:21" x14ac:dyDescent="0.25">
      <c r="A198" s="1" t="s">
        <v>257</v>
      </c>
      <c r="B198" s="1" t="s">
        <v>11</v>
      </c>
      <c r="C198" s="2">
        <v>45646</v>
      </c>
      <c r="D198" s="1" t="s">
        <v>54</v>
      </c>
      <c r="E198" t="s">
        <v>69</v>
      </c>
      <c r="F198">
        <v>2519</v>
      </c>
      <c r="G198">
        <v>202</v>
      </c>
      <c r="H198">
        <v>239</v>
      </c>
      <c r="I198">
        <v>36245</v>
      </c>
      <c r="J198">
        <v>48606</v>
      </c>
      <c r="K198">
        <v>145</v>
      </c>
      <c r="L198" s="1" t="s">
        <v>26</v>
      </c>
      <c r="M198" s="1" t="s">
        <v>57</v>
      </c>
      <c r="N198" s="1" t="s">
        <v>23</v>
      </c>
      <c r="O198">
        <v>1402</v>
      </c>
      <c r="P198">
        <v>68</v>
      </c>
      <c r="Q198">
        <v>23125</v>
      </c>
      <c r="R198" s="33">
        <f>(Posts[[#This Row],[Likes]]+Posts[[#This Row],[Comments]]+Posts[[#This Row],[Shares]])/Posts[[#This Row],[Impressions]]*100</f>
        <v>8.166643674989654</v>
      </c>
      <c r="S198">
        <v>170</v>
      </c>
      <c r="T198">
        <f>Posts[[#This Row],[New_Followers]]-Posts[[#This Row],[Unfollows]]</f>
        <v>1334</v>
      </c>
      <c r="U198" s="32">
        <f>Posts[[#This Row],[Engagement Rate]]/Posts[[#This Row],[Ad_Spend]]</f>
        <v>3.531521589184715E-4</v>
      </c>
    </row>
    <row r="199" spans="1:21" x14ac:dyDescent="0.25">
      <c r="A199" s="1" t="s">
        <v>258</v>
      </c>
      <c r="B199" s="1" t="s">
        <v>11</v>
      </c>
      <c r="C199" s="2">
        <v>45647</v>
      </c>
      <c r="D199" s="1" t="s">
        <v>51</v>
      </c>
      <c r="E199" t="s">
        <v>438</v>
      </c>
      <c r="F199">
        <v>4563</v>
      </c>
      <c r="G199">
        <v>398</v>
      </c>
      <c r="H199">
        <v>163</v>
      </c>
      <c r="I199">
        <v>43679</v>
      </c>
      <c r="J199">
        <v>48760</v>
      </c>
      <c r="K199">
        <v>92</v>
      </c>
      <c r="L199" s="1" t="s">
        <v>18</v>
      </c>
      <c r="M199" s="1" t="s">
        <v>57</v>
      </c>
      <c r="N199" s="1" t="s">
        <v>15</v>
      </c>
      <c r="O199">
        <v>1402</v>
      </c>
      <c r="P199">
        <v>68</v>
      </c>
      <c r="Q199">
        <v>23125</v>
      </c>
      <c r="R199" s="33">
        <f>(Posts[[#This Row],[Likes]]+Posts[[#This Row],[Comments]]+Posts[[#This Row],[Shares]])/Posts[[#This Row],[Impressions]]*100</f>
        <v>11.731037798484397</v>
      </c>
      <c r="S199">
        <v>67</v>
      </c>
      <c r="T199">
        <f>Posts[[#This Row],[New_Followers]]-Posts[[#This Row],[Unfollows]]</f>
        <v>1334</v>
      </c>
      <c r="U199" s="32">
        <f>Posts[[#This Row],[Engagement Rate]]/Posts[[#This Row],[Ad_Spend]]</f>
        <v>5.072881210155415E-4</v>
      </c>
    </row>
    <row r="200" spans="1:21" x14ac:dyDescent="0.25">
      <c r="A200" s="1" t="s">
        <v>259</v>
      </c>
      <c r="B200" s="1" t="s">
        <v>11</v>
      </c>
      <c r="C200" s="2">
        <v>45653</v>
      </c>
      <c r="D200" s="1" t="s">
        <v>54</v>
      </c>
      <c r="E200" t="s">
        <v>439</v>
      </c>
      <c r="F200">
        <v>1436</v>
      </c>
      <c r="G200">
        <v>219</v>
      </c>
      <c r="H200">
        <v>229</v>
      </c>
      <c r="I200">
        <v>58488</v>
      </c>
      <c r="J200">
        <v>24314</v>
      </c>
      <c r="K200">
        <v>147</v>
      </c>
      <c r="L200" s="1" t="s">
        <v>26</v>
      </c>
      <c r="M200" s="1" t="s">
        <v>57</v>
      </c>
      <c r="N200" s="1" t="s">
        <v>23</v>
      </c>
      <c r="O200">
        <v>1402</v>
      </c>
      <c r="P200">
        <v>68</v>
      </c>
      <c r="Q200">
        <v>23125</v>
      </c>
      <c r="R200" s="33">
        <f>(Posts[[#This Row],[Likes]]+Posts[[#This Row],[Comments]]+Posts[[#This Row],[Shares]])/Posts[[#This Row],[Impressions]]*100</f>
        <v>3.2211735740664751</v>
      </c>
      <c r="S200">
        <v>294</v>
      </c>
      <c r="T200">
        <f>Posts[[#This Row],[New_Followers]]-Posts[[#This Row],[Unfollows]]</f>
        <v>1334</v>
      </c>
      <c r="U200" s="32">
        <f>Posts[[#This Row],[Engagement Rate]]/Posts[[#This Row],[Ad_Spend]]</f>
        <v>1.3929399239206379E-4</v>
      </c>
    </row>
    <row r="201" spans="1:21" x14ac:dyDescent="0.25">
      <c r="A201" s="1" t="s">
        <v>260</v>
      </c>
      <c r="B201" s="1" t="s">
        <v>17</v>
      </c>
      <c r="C201" s="2">
        <v>45655</v>
      </c>
      <c r="D201" s="1" t="s">
        <v>51</v>
      </c>
      <c r="E201" t="s">
        <v>438</v>
      </c>
      <c r="F201">
        <v>4049</v>
      </c>
      <c r="G201">
        <v>377</v>
      </c>
      <c r="H201">
        <v>94</v>
      </c>
      <c r="I201">
        <v>48182</v>
      </c>
      <c r="J201">
        <v>42875</v>
      </c>
      <c r="K201">
        <v>172</v>
      </c>
      <c r="L201" s="1" t="s">
        <v>14</v>
      </c>
      <c r="M201" s="1" t="s">
        <v>18</v>
      </c>
      <c r="N201" s="1" t="s">
        <v>19</v>
      </c>
      <c r="O201">
        <v>995</v>
      </c>
      <c r="P201">
        <v>86</v>
      </c>
      <c r="Q201">
        <v>22788</v>
      </c>
      <c r="R201" s="33">
        <f>(Posts[[#This Row],[Likes]]+Posts[[#This Row],[Comments]]+Posts[[#This Row],[Shares]])/Posts[[#This Row],[Impressions]]*100</f>
        <v>9.3810966751068872</v>
      </c>
      <c r="S201">
        <v>127</v>
      </c>
      <c r="T201">
        <f>Posts[[#This Row],[New_Followers]]-Posts[[#This Row],[Unfollows]]</f>
        <v>909</v>
      </c>
      <c r="U201" s="32">
        <f>Posts[[#This Row],[Engagement Rate]]/Posts[[#This Row],[Ad_Spend]]</f>
        <v>4.1166827607104121E-4</v>
      </c>
    </row>
    <row r="202" spans="1:21" x14ac:dyDescent="0.25">
      <c r="A202" s="1" t="s">
        <v>261</v>
      </c>
      <c r="B202" s="1" t="s">
        <v>17</v>
      </c>
      <c r="C202" s="2">
        <v>45656</v>
      </c>
      <c r="D202" s="1" t="s">
        <v>54</v>
      </c>
      <c r="E202" t="s">
        <v>89</v>
      </c>
      <c r="F202">
        <v>4214</v>
      </c>
      <c r="G202">
        <v>286</v>
      </c>
      <c r="H202">
        <v>127</v>
      </c>
      <c r="I202">
        <v>47293</v>
      </c>
      <c r="J202">
        <v>27184</v>
      </c>
      <c r="K202">
        <v>232</v>
      </c>
      <c r="L202" s="1" t="s">
        <v>18</v>
      </c>
      <c r="M202" s="1" t="s">
        <v>57</v>
      </c>
      <c r="N202" s="1" t="s">
        <v>19</v>
      </c>
      <c r="O202">
        <v>995</v>
      </c>
      <c r="P202">
        <v>86</v>
      </c>
      <c r="Q202">
        <v>22788</v>
      </c>
      <c r="R202" s="33">
        <f>(Posts[[#This Row],[Likes]]+Posts[[#This Row],[Comments]]+Posts[[#This Row],[Shares]])/Posts[[#This Row],[Impressions]]*100</f>
        <v>9.7836889180216957</v>
      </c>
      <c r="S202">
        <v>115</v>
      </c>
      <c r="T202">
        <f>Posts[[#This Row],[New_Followers]]-Posts[[#This Row],[Unfollows]]</f>
        <v>909</v>
      </c>
      <c r="U202" s="32">
        <f>Posts[[#This Row],[Engagement Rate]]/Posts[[#This Row],[Ad_Spend]]</f>
        <v>4.2933512892845779E-4</v>
      </c>
    </row>
    <row r="203" spans="1:21" x14ac:dyDescent="0.25">
      <c r="A203" s="1" t="s">
        <v>262</v>
      </c>
      <c r="B203" s="1" t="s">
        <v>11</v>
      </c>
      <c r="C203" s="2">
        <v>45658</v>
      </c>
      <c r="D203" s="1" t="s">
        <v>54</v>
      </c>
      <c r="E203" t="s">
        <v>438</v>
      </c>
      <c r="F203">
        <v>4036</v>
      </c>
      <c r="G203">
        <v>112</v>
      </c>
      <c r="H203">
        <v>382</v>
      </c>
      <c r="I203">
        <v>56284</v>
      </c>
      <c r="J203">
        <v>29440</v>
      </c>
      <c r="K203">
        <v>279</v>
      </c>
      <c r="L203" s="1" t="s">
        <v>22</v>
      </c>
      <c r="M203" s="1" t="s">
        <v>18</v>
      </c>
      <c r="N203" s="1" t="s">
        <v>19</v>
      </c>
      <c r="O203">
        <v>1402</v>
      </c>
      <c r="P203">
        <v>68</v>
      </c>
      <c r="Q203">
        <v>23125</v>
      </c>
      <c r="R203" s="33">
        <f>(Posts[[#This Row],[Likes]]+Posts[[#This Row],[Comments]]+Posts[[#This Row],[Shares]])/Posts[[#This Row],[Impressions]]*100</f>
        <v>8.0484684812735416</v>
      </c>
      <c r="S203">
        <v>176</v>
      </c>
      <c r="T203">
        <f>Posts[[#This Row],[New_Followers]]-Posts[[#This Row],[Unfollows]]</f>
        <v>1334</v>
      </c>
      <c r="U203" s="32">
        <f>Posts[[#This Row],[Engagement Rate]]/Posts[[#This Row],[Ad_Spend]]</f>
        <v>3.4804188027128831E-4</v>
      </c>
    </row>
    <row r="204" spans="1:21" x14ac:dyDescent="0.25">
      <c r="A204" s="1" t="s">
        <v>263</v>
      </c>
      <c r="B204" s="1" t="s">
        <v>17</v>
      </c>
      <c r="C204" s="2">
        <v>45660</v>
      </c>
      <c r="D204" s="1" t="s">
        <v>51</v>
      </c>
      <c r="E204" t="s">
        <v>89</v>
      </c>
      <c r="F204">
        <v>4845</v>
      </c>
      <c r="G204">
        <v>158</v>
      </c>
      <c r="H204">
        <v>84</v>
      </c>
      <c r="I204">
        <v>34578</v>
      </c>
      <c r="J204">
        <v>51480</v>
      </c>
      <c r="K204">
        <v>180</v>
      </c>
      <c r="L204" s="1" t="s">
        <v>22</v>
      </c>
      <c r="M204" s="1" t="s">
        <v>18</v>
      </c>
      <c r="N204" s="1" t="s">
        <v>19</v>
      </c>
      <c r="O204">
        <v>995</v>
      </c>
      <c r="P204">
        <v>86</v>
      </c>
      <c r="Q204">
        <v>22788</v>
      </c>
      <c r="R204" s="33">
        <f>(Posts[[#This Row],[Likes]]+Posts[[#This Row],[Comments]]+Posts[[#This Row],[Shares]])/Posts[[#This Row],[Impressions]]*100</f>
        <v>14.711666377465441</v>
      </c>
      <c r="S204">
        <v>38</v>
      </c>
      <c r="T204">
        <f>Posts[[#This Row],[New_Followers]]-Posts[[#This Row],[Unfollows]]</f>
        <v>909</v>
      </c>
      <c r="U204" s="32">
        <f>Posts[[#This Row],[Engagement Rate]]/Posts[[#This Row],[Ad_Spend]]</f>
        <v>6.455883086477726E-4</v>
      </c>
    </row>
    <row r="205" spans="1:21" x14ac:dyDescent="0.25">
      <c r="A205" s="1" t="s">
        <v>264</v>
      </c>
      <c r="B205" s="1" t="s">
        <v>12</v>
      </c>
      <c r="C205" s="2">
        <v>45660</v>
      </c>
      <c r="D205" s="1" t="s">
        <v>54</v>
      </c>
      <c r="E205" t="s">
        <v>438</v>
      </c>
      <c r="F205">
        <v>3782</v>
      </c>
      <c r="G205">
        <v>484</v>
      </c>
      <c r="H205">
        <v>144</v>
      </c>
      <c r="I205">
        <v>52172</v>
      </c>
      <c r="J205">
        <v>59386</v>
      </c>
      <c r="K205">
        <v>175</v>
      </c>
      <c r="L205" s="1" t="s">
        <v>26</v>
      </c>
      <c r="M205" s="1" t="s">
        <v>13</v>
      </c>
      <c r="N205" s="1" t="s">
        <v>23</v>
      </c>
      <c r="O205">
        <v>1472</v>
      </c>
      <c r="P205">
        <v>296</v>
      </c>
      <c r="Q205">
        <v>7810</v>
      </c>
      <c r="R205" s="33">
        <f>(Posts[[#This Row],[Likes]]+Posts[[#This Row],[Comments]]+Posts[[#This Row],[Shares]])/Posts[[#This Row],[Impressions]]*100</f>
        <v>8.4528099363643339</v>
      </c>
      <c r="S205">
        <v>157</v>
      </c>
      <c r="T205">
        <f>Posts[[#This Row],[New_Followers]]-Posts[[#This Row],[Unfollows]]</f>
        <v>1176</v>
      </c>
      <c r="U205" s="32">
        <f>Posts[[#This Row],[Engagement Rate]]/Posts[[#This Row],[Ad_Spend]]</f>
        <v>1.0823060097777636E-3</v>
      </c>
    </row>
    <row r="206" spans="1:21" x14ac:dyDescent="0.25">
      <c r="A206" s="1" t="s">
        <v>265</v>
      </c>
      <c r="B206" s="1" t="s">
        <v>17</v>
      </c>
      <c r="C206" s="2">
        <v>45662</v>
      </c>
      <c r="D206" s="1" t="s">
        <v>51</v>
      </c>
      <c r="E206" t="s">
        <v>437</v>
      </c>
      <c r="F206">
        <v>3341</v>
      </c>
      <c r="G206">
        <v>154</v>
      </c>
      <c r="H206">
        <v>123</v>
      </c>
      <c r="I206">
        <v>43369</v>
      </c>
      <c r="J206">
        <v>49035</v>
      </c>
      <c r="K206">
        <v>128</v>
      </c>
      <c r="L206" s="1" t="s">
        <v>14</v>
      </c>
      <c r="M206" s="1" t="s">
        <v>18</v>
      </c>
      <c r="N206" s="1" t="s">
        <v>19</v>
      </c>
      <c r="O206">
        <v>995</v>
      </c>
      <c r="P206">
        <v>86</v>
      </c>
      <c r="Q206">
        <v>22788</v>
      </c>
      <c r="R206" s="33">
        <f>(Posts[[#This Row],[Likes]]+Posts[[#This Row],[Comments]]+Posts[[#This Row],[Shares]])/Posts[[#This Row],[Impressions]]*100</f>
        <v>8.3423643616408025</v>
      </c>
      <c r="S206">
        <v>163</v>
      </c>
      <c r="T206">
        <f>Posts[[#This Row],[New_Followers]]-Posts[[#This Row],[Unfollows]]</f>
        <v>909</v>
      </c>
      <c r="U206" s="32">
        <f>Posts[[#This Row],[Engagement Rate]]/Posts[[#This Row],[Ad_Spend]]</f>
        <v>3.6608585051960693E-4</v>
      </c>
    </row>
    <row r="207" spans="1:21" x14ac:dyDescent="0.25">
      <c r="A207" s="1" t="s">
        <v>266</v>
      </c>
      <c r="B207" s="1" t="s">
        <v>17</v>
      </c>
      <c r="C207" s="2">
        <v>45662</v>
      </c>
      <c r="D207" s="1" t="s">
        <v>54</v>
      </c>
      <c r="E207" t="s">
        <v>49</v>
      </c>
      <c r="F207">
        <v>4811</v>
      </c>
      <c r="G207">
        <v>473</v>
      </c>
      <c r="H207">
        <v>254</v>
      </c>
      <c r="I207">
        <v>51964</v>
      </c>
      <c r="J207">
        <v>68795</v>
      </c>
      <c r="K207">
        <v>107</v>
      </c>
      <c r="L207" s="1" t="s">
        <v>18</v>
      </c>
      <c r="M207" s="1" t="s">
        <v>57</v>
      </c>
      <c r="N207" s="1" t="s">
        <v>19</v>
      </c>
      <c r="O207">
        <v>995</v>
      </c>
      <c r="P207">
        <v>86</v>
      </c>
      <c r="Q207">
        <v>22788</v>
      </c>
      <c r="R207" s="33">
        <f>(Posts[[#This Row],[Likes]]+Posts[[#This Row],[Comments]]+Posts[[#This Row],[Shares]])/Posts[[#This Row],[Impressions]]*100</f>
        <v>10.657378184897237</v>
      </c>
      <c r="S207">
        <v>93</v>
      </c>
      <c r="T207">
        <f>Posts[[#This Row],[New_Followers]]-Posts[[#This Row],[Unfollows]]</f>
        <v>909</v>
      </c>
      <c r="U207" s="32">
        <f>Posts[[#This Row],[Engagement Rate]]/Posts[[#This Row],[Ad_Spend]]</f>
        <v>4.6767501250207286E-4</v>
      </c>
    </row>
    <row r="208" spans="1:21" x14ac:dyDescent="0.25">
      <c r="A208" s="1" t="s">
        <v>267</v>
      </c>
      <c r="B208" s="1" t="s">
        <v>17</v>
      </c>
      <c r="C208" s="2">
        <v>45666</v>
      </c>
      <c r="D208" s="1" t="s">
        <v>51</v>
      </c>
      <c r="E208" t="s">
        <v>74</v>
      </c>
      <c r="F208">
        <v>3817</v>
      </c>
      <c r="G208">
        <v>284</v>
      </c>
      <c r="H208">
        <v>204</v>
      </c>
      <c r="I208">
        <v>46434</v>
      </c>
      <c r="J208">
        <v>53396</v>
      </c>
      <c r="K208">
        <v>104</v>
      </c>
      <c r="L208" s="1" t="s">
        <v>14</v>
      </c>
      <c r="M208" s="1" t="s">
        <v>18</v>
      </c>
      <c r="N208" s="1" t="s">
        <v>19</v>
      </c>
      <c r="O208">
        <v>995</v>
      </c>
      <c r="P208">
        <v>86</v>
      </c>
      <c r="Q208">
        <v>22788</v>
      </c>
      <c r="R208" s="33">
        <f>(Posts[[#This Row],[Likes]]+Posts[[#This Row],[Comments]]+Posts[[#This Row],[Shares]])/Posts[[#This Row],[Impressions]]*100</f>
        <v>9.271223672309084</v>
      </c>
      <c r="S208">
        <v>130</v>
      </c>
      <c r="T208">
        <f>Posts[[#This Row],[New_Followers]]-Posts[[#This Row],[Unfollows]]</f>
        <v>909</v>
      </c>
      <c r="U208" s="32">
        <f>Posts[[#This Row],[Engagement Rate]]/Posts[[#This Row],[Ad_Spend]]</f>
        <v>4.068467470734195E-4</v>
      </c>
    </row>
    <row r="209" spans="1:21" x14ac:dyDescent="0.25">
      <c r="A209" s="1" t="s">
        <v>268</v>
      </c>
      <c r="B209" s="1" t="s">
        <v>11</v>
      </c>
      <c r="C209" s="2">
        <v>45666</v>
      </c>
      <c r="D209" s="1" t="s">
        <v>54</v>
      </c>
      <c r="E209" t="s">
        <v>438</v>
      </c>
      <c r="F209">
        <v>1015</v>
      </c>
      <c r="G209">
        <v>366</v>
      </c>
      <c r="H209">
        <v>308</v>
      </c>
      <c r="I209">
        <v>38127</v>
      </c>
      <c r="J209">
        <v>63790</v>
      </c>
      <c r="K209">
        <v>287</v>
      </c>
      <c r="L209" s="1" t="s">
        <v>22</v>
      </c>
      <c r="M209" s="1" t="s">
        <v>18</v>
      </c>
      <c r="N209" s="1" t="s">
        <v>19</v>
      </c>
      <c r="O209">
        <v>1402</v>
      </c>
      <c r="P209">
        <v>68</v>
      </c>
      <c r="Q209">
        <v>23125</v>
      </c>
      <c r="R209" s="33">
        <f>(Posts[[#This Row],[Likes]]+Posts[[#This Row],[Comments]]+Posts[[#This Row],[Shares]])/Posts[[#This Row],[Impressions]]*100</f>
        <v>4.4299315445747114</v>
      </c>
      <c r="S209">
        <v>268</v>
      </c>
      <c r="T209">
        <f>Posts[[#This Row],[New_Followers]]-Posts[[#This Row],[Unfollows]]</f>
        <v>1334</v>
      </c>
      <c r="U209" s="32">
        <f>Posts[[#This Row],[Engagement Rate]]/Posts[[#This Row],[Ad_Spend]]</f>
        <v>1.915646073329605E-4</v>
      </c>
    </row>
    <row r="210" spans="1:21" x14ac:dyDescent="0.25">
      <c r="A210" s="1" t="s">
        <v>269</v>
      </c>
      <c r="B210" s="1" t="s">
        <v>11</v>
      </c>
      <c r="C210" s="2">
        <v>45669</v>
      </c>
      <c r="D210" s="1" t="s">
        <v>54</v>
      </c>
      <c r="E210" t="s">
        <v>439</v>
      </c>
      <c r="F210">
        <v>1771</v>
      </c>
      <c r="G210">
        <v>487</v>
      </c>
      <c r="H210">
        <v>272</v>
      </c>
      <c r="I210">
        <v>48810</v>
      </c>
      <c r="J210">
        <v>48084</v>
      </c>
      <c r="K210">
        <v>272</v>
      </c>
      <c r="L210" s="1" t="s">
        <v>22</v>
      </c>
      <c r="M210" s="1" t="s">
        <v>18</v>
      </c>
      <c r="N210" s="1" t="s">
        <v>19</v>
      </c>
      <c r="O210">
        <v>1402</v>
      </c>
      <c r="P210">
        <v>68</v>
      </c>
      <c r="Q210">
        <v>23125</v>
      </c>
      <c r="R210" s="33">
        <f>(Posts[[#This Row],[Likes]]+Posts[[#This Row],[Comments]]+Posts[[#This Row],[Shares]])/Posts[[#This Row],[Impressions]]*100</f>
        <v>5.1833640647408314</v>
      </c>
      <c r="S210">
        <v>250</v>
      </c>
      <c r="T210">
        <f>Posts[[#This Row],[New_Followers]]-Posts[[#This Row],[Unfollows]]</f>
        <v>1334</v>
      </c>
      <c r="U210" s="32">
        <f>Posts[[#This Row],[Engagement Rate]]/Posts[[#This Row],[Ad_Spend]]</f>
        <v>2.241454730698738E-4</v>
      </c>
    </row>
    <row r="211" spans="1:21" x14ac:dyDescent="0.25">
      <c r="A211" s="1" t="s">
        <v>270</v>
      </c>
      <c r="B211" s="1" t="s">
        <v>17</v>
      </c>
      <c r="C211" s="2">
        <v>45669</v>
      </c>
      <c r="D211" s="1" t="s">
        <v>54</v>
      </c>
      <c r="E211" t="s">
        <v>435</v>
      </c>
      <c r="F211">
        <v>1765</v>
      </c>
      <c r="G211">
        <v>285</v>
      </c>
      <c r="H211">
        <v>100</v>
      </c>
      <c r="I211">
        <v>41313</v>
      </c>
      <c r="J211">
        <v>56575</v>
      </c>
      <c r="K211">
        <v>174</v>
      </c>
      <c r="L211" s="1" t="s">
        <v>22</v>
      </c>
      <c r="M211" s="1" t="s">
        <v>57</v>
      </c>
      <c r="N211" s="1" t="s">
        <v>23</v>
      </c>
      <c r="O211">
        <v>995</v>
      </c>
      <c r="P211">
        <v>86</v>
      </c>
      <c r="Q211">
        <v>22788</v>
      </c>
      <c r="R211" s="33">
        <f>(Posts[[#This Row],[Likes]]+Posts[[#This Row],[Comments]]+Posts[[#This Row],[Shares]])/Posts[[#This Row],[Impressions]]*100</f>
        <v>5.2041730205988426</v>
      </c>
      <c r="S211">
        <v>248</v>
      </c>
      <c r="T211">
        <f>Posts[[#This Row],[New_Followers]]-Posts[[#This Row],[Unfollows]]</f>
        <v>909</v>
      </c>
      <c r="U211" s="32">
        <f>Posts[[#This Row],[Engagement Rate]]/Posts[[#This Row],[Ad_Spend]]</f>
        <v>2.2837339918373016E-4</v>
      </c>
    </row>
    <row r="212" spans="1:21" x14ac:dyDescent="0.25">
      <c r="A212" s="1" t="s">
        <v>271</v>
      </c>
      <c r="B212" s="1" t="s">
        <v>17</v>
      </c>
      <c r="C212" s="2">
        <v>45670</v>
      </c>
      <c r="D212" s="1" t="s">
        <v>54</v>
      </c>
      <c r="E212" t="s">
        <v>435</v>
      </c>
      <c r="F212">
        <v>4090</v>
      </c>
      <c r="G212">
        <v>209</v>
      </c>
      <c r="H212">
        <v>278</v>
      </c>
      <c r="I212">
        <v>52853</v>
      </c>
      <c r="J212">
        <v>57084</v>
      </c>
      <c r="K212">
        <v>102</v>
      </c>
      <c r="L212" s="1" t="s">
        <v>22</v>
      </c>
      <c r="M212" s="1" t="s">
        <v>57</v>
      </c>
      <c r="N212" s="1" t="s">
        <v>23</v>
      </c>
      <c r="O212">
        <v>995</v>
      </c>
      <c r="P212">
        <v>86</v>
      </c>
      <c r="Q212">
        <v>22788</v>
      </c>
      <c r="R212" s="33">
        <f>(Posts[[#This Row],[Likes]]+Posts[[#This Row],[Comments]]+Posts[[#This Row],[Shares]])/Posts[[#This Row],[Impressions]]*100</f>
        <v>8.659867935594951</v>
      </c>
      <c r="S212">
        <v>149</v>
      </c>
      <c r="T212">
        <f>Posts[[#This Row],[New_Followers]]-Posts[[#This Row],[Unfollows]]</f>
        <v>909</v>
      </c>
      <c r="U212" s="32">
        <f>Posts[[#This Row],[Engagement Rate]]/Posts[[#This Row],[Ad_Spend]]</f>
        <v>3.8001877898871997E-4</v>
      </c>
    </row>
    <row r="213" spans="1:21" x14ac:dyDescent="0.25">
      <c r="A213" s="1" t="s">
        <v>272</v>
      </c>
      <c r="B213" s="1" t="s">
        <v>12</v>
      </c>
      <c r="C213" s="2">
        <v>45672</v>
      </c>
      <c r="D213" s="1" t="s">
        <v>54</v>
      </c>
      <c r="E213" t="s">
        <v>74</v>
      </c>
      <c r="F213">
        <v>2599</v>
      </c>
      <c r="G213">
        <v>324</v>
      </c>
      <c r="H213">
        <v>182</v>
      </c>
      <c r="I213">
        <v>37525</v>
      </c>
      <c r="J213">
        <v>37216</v>
      </c>
      <c r="K213">
        <v>186</v>
      </c>
      <c r="L213" s="1" t="s">
        <v>26</v>
      </c>
      <c r="M213" s="1" t="s">
        <v>13</v>
      </c>
      <c r="N213" s="1" t="s">
        <v>23</v>
      </c>
      <c r="O213">
        <v>1472</v>
      </c>
      <c r="P213">
        <v>296</v>
      </c>
      <c r="Q213">
        <v>7810</v>
      </c>
      <c r="R213" s="33">
        <f>(Posts[[#This Row],[Likes]]+Posts[[#This Row],[Comments]]+Posts[[#This Row],[Shares]])/Posts[[#This Row],[Impressions]]*100</f>
        <v>8.2744836775483019</v>
      </c>
      <c r="S213">
        <v>166</v>
      </c>
      <c r="T213">
        <f>Posts[[#This Row],[New_Followers]]-Posts[[#This Row],[Unfollows]]</f>
        <v>1176</v>
      </c>
      <c r="U213" s="32">
        <f>Posts[[#This Row],[Engagement Rate]]/Posts[[#This Row],[Ad_Spend]]</f>
        <v>1.0594729420676443E-3</v>
      </c>
    </row>
    <row r="214" spans="1:21" x14ac:dyDescent="0.25">
      <c r="A214" s="1" t="s">
        <v>273</v>
      </c>
      <c r="B214" s="1" t="s">
        <v>11</v>
      </c>
      <c r="C214" s="2">
        <v>45673</v>
      </c>
      <c r="D214" s="1" t="s">
        <v>54</v>
      </c>
      <c r="E214" t="s">
        <v>435</v>
      </c>
      <c r="F214">
        <v>2605</v>
      </c>
      <c r="G214">
        <v>282</v>
      </c>
      <c r="H214">
        <v>148</v>
      </c>
      <c r="I214">
        <v>32201</v>
      </c>
      <c r="J214">
        <v>49583</v>
      </c>
      <c r="K214">
        <v>241</v>
      </c>
      <c r="L214" s="1" t="s">
        <v>22</v>
      </c>
      <c r="M214" s="1" t="s">
        <v>18</v>
      </c>
      <c r="N214" s="1" t="s">
        <v>19</v>
      </c>
      <c r="O214">
        <v>1402</v>
      </c>
      <c r="P214">
        <v>68</v>
      </c>
      <c r="Q214">
        <v>23125</v>
      </c>
      <c r="R214" s="33">
        <f>(Posts[[#This Row],[Likes]]+Posts[[#This Row],[Comments]]+Posts[[#This Row],[Shares]])/Posts[[#This Row],[Impressions]]*100</f>
        <v>9.4251731312692151</v>
      </c>
      <c r="S214">
        <v>124</v>
      </c>
      <c r="T214">
        <f>Posts[[#This Row],[New_Followers]]-Posts[[#This Row],[Unfollows]]</f>
        <v>1334</v>
      </c>
      <c r="U214" s="32">
        <f>Posts[[#This Row],[Engagement Rate]]/Posts[[#This Row],[Ad_Spend]]</f>
        <v>4.0757505432515524E-4</v>
      </c>
    </row>
    <row r="215" spans="1:21" x14ac:dyDescent="0.25">
      <c r="A215" s="1" t="s">
        <v>274</v>
      </c>
      <c r="B215" s="1" t="s">
        <v>11</v>
      </c>
      <c r="C215" s="2">
        <v>45674</v>
      </c>
      <c r="D215" s="1" t="s">
        <v>54</v>
      </c>
      <c r="E215" t="s">
        <v>55</v>
      </c>
      <c r="F215">
        <v>2266</v>
      </c>
      <c r="G215">
        <v>126</v>
      </c>
      <c r="H215">
        <v>140</v>
      </c>
      <c r="I215">
        <v>53759</v>
      </c>
      <c r="J215">
        <v>46834</v>
      </c>
      <c r="K215">
        <v>277</v>
      </c>
      <c r="L215" s="1" t="s">
        <v>26</v>
      </c>
      <c r="M215" s="1" t="s">
        <v>57</v>
      </c>
      <c r="N215" s="1" t="s">
        <v>23</v>
      </c>
      <c r="O215">
        <v>1402</v>
      </c>
      <c r="P215">
        <v>68</v>
      </c>
      <c r="Q215">
        <v>23125</v>
      </c>
      <c r="R215" s="33">
        <f>(Posts[[#This Row],[Likes]]+Posts[[#This Row],[Comments]]+Posts[[#This Row],[Shares]])/Posts[[#This Row],[Impressions]]*100</f>
        <v>4.7099090384865789</v>
      </c>
      <c r="S215">
        <v>262</v>
      </c>
      <c r="T215">
        <f>Posts[[#This Row],[New_Followers]]-Posts[[#This Row],[Unfollows]]</f>
        <v>1334</v>
      </c>
      <c r="U215" s="32">
        <f>Posts[[#This Row],[Engagement Rate]]/Posts[[#This Row],[Ad_Spend]]</f>
        <v>2.0367174220482505E-4</v>
      </c>
    </row>
    <row r="216" spans="1:21" x14ac:dyDescent="0.25">
      <c r="A216" s="36" t="s">
        <v>275</v>
      </c>
      <c r="B216" s="36" t="s">
        <v>17</v>
      </c>
      <c r="C216" s="40">
        <v>45676</v>
      </c>
      <c r="D216" s="36" t="s">
        <v>51</v>
      </c>
      <c r="E216" s="36" t="s">
        <v>435</v>
      </c>
      <c r="F216" s="36">
        <v>3507</v>
      </c>
      <c r="G216" s="36">
        <v>295</v>
      </c>
      <c r="H216" s="36">
        <v>371</v>
      </c>
      <c r="I216" s="36">
        <v>20410</v>
      </c>
      <c r="J216" s="36">
        <v>53965</v>
      </c>
      <c r="K216" s="36">
        <v>212</v>
      </c>
      <c r="L216" s="36" t="s">
        <v>22</v>
      </c>
      <c r="M216" s="36" t="s">
        <v>18</v>
      </c>
      <c r="N216" s="36" t="s">
        <v>19</v>
      </c>
      <c r="O216" s="36">
        <v>995</v>
      </c>
      <c r="P216" s="36">
        <v>86</v>
      </c>
      <c r="Q216" s="36">
        <v>22788</v>
      </c>
      <c r="R216" s="33">
        <f>(Posts[[#This Row],[Likes]]+Posts[[#This Row],[Comments]]+Posts[[#This Row],[Shares]])/Posts[[#This Row],[Impressions]]*100</f>
        <v>20.445859872611464</v>
      </c>
      <c r="S216">
        <v>4</v>
      </c>
      <c r="T216" s="36">
        <f>Posts[[#This Row],[New_Followers]]-Posts[[#This Row],[Unfollows]]</f>
        <v>909</v>
      </c>
      <c r="U216" s="36">
        <f>Posts[[#This Row],[Engagement Rate]]/Posts[[#This Row],[Ad_Spend]]</f>
        <v>8.9722046132225135E-4</v>
      </c>
    </row>
    <row r="217" spans="1:21" x14ac:dyDescent="0.25">
      <c r="A217" s="1" t="s">
        <v>276</v>
      </c>
      <c r="B217" s="1" t="s">
        <v>17</v>
      </c>
      <c r="C217" s="2">
        <v>45676</v>
      </c>
      <c r="D217" s="1" t="s">
        <v>51</v>
      </c>
      <c r="E217" t="s">
        <v>438</v>
      </c>
      <c r="F217">
        <v>1651</v>
      </c>
      <c r="G217">
        <v>480</v>
      </c>
      <c r="H217">
        <v>282</v>
      </c>
      <c r="I217">
        <v>32140</v>
      </c>
      <c r="J217">
        <v>70560</v>
      </c>
      <c r="K217">
        <v>138</v>
      </c>
      <c r="L217" s="1" t="s">
        <v>22</v>
      </c>
      <c r="M217" s="1" t="s">
        <v>18</v>
      </c>
      <c r="N217" s="1" t="s">
        <v>19</v>
      </c>
      <c r="O217">
        <v>995</v>
      </c>
      <c r="P217">
        <v>86</v>
      </c>
      <c r="Q217">
        <v>22788</v>
      </c>
      <c r="R217" s="33">
        <f>(Posts[[#This Row],[Likes]]+Posts[[#This Row],[Comments]]+Posts[[#This Row],[Shares]])/Posts[[#This Row],[Impressions]]*100</f>
        <v>7.5077784691972624</v>
      </c>
      <c r="S217">
        <v>188</v>
      </c>
      <c r="T217">
        <f>Posts[[#This Row],[New_Followers]]-Posts[[#This Row],[Unfollows]]</f>
        <v>909</v>
      </c>
      <c r="U217" s="32">
        <f>Posts[[#This Row],[Engagement Rate]]/Posts[[#This Row],[Ad_Spend]]</f>
        <v>3.2946193036673962E-4</v>
      </c>
    </row>
    <row r="218" spans="1:21" x14ac:dyDescent="0.25">
      <c r="A218" s="36" t="s">
        <v>277</v>
      </c>
      <c r="B218" s="36" t="s">
        <v>17</v>
      </c>
      <c r="C218" s="40">
        <v>45677</v>
      </c>
      <c r="D218" s="36" t="s">
        <v>51</v>
      </c>
      <c r="E218" s="36" t="s">
        <v>438</v>
      </c>
      <c r="F218" s="36">
        <v>4619</v>
      </c>
      <c r="G218" s="36">
        <v>272</v>
      </c>
      <c r="H218" s="36">
        <v>57</v>
      </c>
      <c r="I218" s="36">
        <v>21334</v>
      </c>
      <c r="J218" s="36">
        <v>46292</v>
      </c>
      <c r="K218" s="36">
        <v>91</v>
      </c>
      <c r="L218" s="36" t="s">
        <v>22</v>
      </c>
      <c r="M218" s="36" t="s">
        <v>18</v>
      </c>
      <c r="N218" s="36" t="s">
        <v>19</v>
      </c>
      <c r="O218" s="36">
        <v>995</v>
      </c>
      <c r="P218" s="36">
        <v>86</v>
      </c>
      <c r="Q218" s="36">
        <v>22788</v>
      </c>
      <c r="R218" s="33">
        <f>(Posts[[#This Row],[Likes]]+Posts[[#This Row],[Comments]]+Posts[[#This Row],[Shares]])/Posts[[#This Row],[Impressions]]*100</f>
        <v>23.193025217961939</v>
      </c>
      <c r="S218">
        <v>2</v>
      </c>
      <c r="T218" s="36">
        <f>Posts[[#This Row],[New_Followers]]-Posts[[#This Row],[Unfollows]]</f>
        <v>909</v>
      </c>
      <c r="U218" s="36">
        <f>Posts[[#This Row],[Engagement Rate]]/Posts[[#This Row],[Ad_Spend]]</f>
        <v>1.0177736184817422E-3</v>
      </c>
    </row>
    <row r="219" spans="1:21" x14ac:dyDescent="0.25">
      <c r="A219" s="1" t="s">
        <v>278</v>
      </c>
      <c r="B219" s="1" t="s">
        <v>17</v>
      </c>
      <c r="C219" s="2">
        <v>45678</v>
      </c>
      <c r="D219" s="1" t="s">
        <v>51</v>
      </c>
      <c r="E219" t="s">
        <v>438</v>
      </c>
      <c r="F219">
        <v>2494</v>
      </c>
      <c r="G219">
        <v>494</v>
      </c>
      <c r="H219">
        <v>55</v>
      </c>
      <c r="I219">
        <v>22580</v>
      </c>
      <c r="J219">
        <v>22214</v>
      </c>
      <c r="K219">
        <v>109</v>
      </c>
      <c r="L219" s="1" t="s">
        <v>14</v>
      </c>
      <c r="M219" s="1" t="s">
        <v>18</v>
      </c>
      <c r="N219" s="1" t="s">
        <v>19</v>
      </c>
      <c r="O219">
        <v>995</v>
      </c>
      <c r="P219">
        <v>86</v>
      </c>
      <c r="Q219">
        <v>22788</v>
      </c>
      <c r="R219" s="33">
        <f>(Posts[[#This Row],[Likes]]+Posts[[#This Row],[Comments]]+Posts[[#This Row],[Shares]])/Posts[[#This Row],[Impressions]]*100</f>
        <v>13.476527900797167</v>
      </c>
      <c r="S219">
        <v>51</v>
      </c>
      <c r="T219">
        <f>Posts[[#This Row],[New_Followers]]-Posts[[#This Row],[Unfollows]]</f>
        <v>909</v>
      </c>
      <c r="U219" s="32">
        <f>Posts[[#This Row],[Engagement Rate]]/Posts[[#This Row],[Ad_Spend]]</f>
        <v>5.913870414602935E-4</v>
      </c>
    </row>
    <row r="220" spans="1:21" x14ac:dyDescent="0.25">
      <c r="A220" s="1" t="s">
        <v>279</v>
      </c>
      <c r="B220" s="1" t="s">
        <v>11</v>
      </c>
      <c r="C220" s="2">
        <v>45678</v>
      </c>
      <c r="D220" s="1" t="s">
        <v>51</v>
      </c>
      <c r="E220" t="s">
        <v>69</v>
      </c>
      <c r="F220">
        <v>4918</v>
      </c>
      <c r="G220">
        <v>440</v>
      </c>
      <c r="H220">
        <v>149</v>
      </c>
      <c r="I220">
        <v>53269</v>
      </c>
      <c r="J220">
        <v>64370</v>
      </c>
      <c r="K220">
        <v>269</v>
      </c>
      <c r="L220" s="1" t="s">
        <v>18</v>
      </c>
      <c r="M220" s="1" t="s">
        <v>57</v>
      </c>
      <c r="N220" s="1" t="s">
        <v>15</v>
      </c>
      <c r="O220">
        <v>1402</v>
      </c>
      <c r="P220">
        <v>68</v>
      </c>
      <c r="Q220">
        <v>23125</v>
      </c>
      <c r="R220" s="33">
        <f>(Posts[[#This Row],[Likes]]+Posts[[#This Row],[Comments]]+Posts[[#This Row],[Shares]])/Posts[[#This Row],[Impressions]]*100</f>
        <v>10.338095327488784</v>
      </c>
      <c r="S220">
        <v>102</v>
      </c>
      <c r="T220">
        <f>Posts[[#This Row],[New_Followers]]-Posts[[#This Row],[Unfollows]]</f>
        <v>1334</v>
      </c>
      <c r="U220" s="32">
        <f>Posts[[#This Row],[Engagement Rate]]/Posts[[#This Row],[Ad_Spend]]</f>
        <v>4.4705277091843388E-4</v>
      </c>
    </row>
    <row r="221" spans="1:21" x14ac:dyDescent="0.25">
      <c r="A221" s="1" t="s">
        <v>280</v>
      </c>
      <c r="B221" s="1" t="s">
        <v>17</v>
      </c>
      <c r="C221" s="2">
        <v>45679</v>
      </c>
      <c r="D221" s="1" t="s">
        <v>51</v>
      </c>
      <c r="E221" t="s">
        <v>438</v>
      </c>
      <c r="F221">
        <v>4478</v>
      </c>
      <c r="G221">
        <v>101</v>
      </c>
      <c r="H221">
        <v>121</v>
      </c>
      <c r="I221">
        <v>51035</v>
      </c>
      <c r="J221">
        <v>58207</v>
      </c>
      <c r="K221">
        <v>205</v>
      </c>
      <c r="L221" s="1" t="s">
        <v>14</v>
      </c>
      <c r="M221" s="1" t="s">
        <v>18</v>
      </c>
      <c r="N221" s="1" t="s">
        <v>19</v>
      </c>
      <c r="O221">
        <v>995</v>
      </c>
      <c r="P221">
        <v>86</v>
      </c>
      <c r="Q221">
        <v>22788</v>
      </c>
      <c r="R221" s="33">
        <f>(Posts[[#This Row],[Likes]]+Posts[[#This Row],[Comments]]+Posts[[#This Row],[Shares]])/Posts[[#This Row],[Impressions]]*100</f>
        <v>9.2093661212893121</v>
      </c>
      <c r="S221">
        <v>135</v>
      </c>
      <c r="T221">
        <f>Posts[[#This Row],[New_Followers]]-Posts[[#This Row],[Unfollows]]</f>
        <v>909</v>
      </c>
      <c r="U221" s="32">
        <f>Posts[[#This Row],[Engagement Rate]]/Posts[[#This Row],[Ad_Spend]]</f>
        <v>4.0413226791685588E-4</v>
      </c>
    </row>
    <row r="222" spans="1:21" x14ac:dyDescent="0.25">
      <c r="A222" s="1" t="s">
        <v>281</v>
      </c>
      <c r="B222" s="1" t="s">
        <v>11</v>
      </c>
      <c r="C222" s="2">
        <v>45683</v>
      </c>
      <c r="D222" s="1" t="s">
        <v>51</v>
      </c>
      <c r="E222" t="s">
        <v>436</v>
      </c>
      <c r="F222">
        <v>3451</v>
      </c>
      <c r="G222">
        <v>363</v>
      </c>
      <c r="H222">
        <v>393</v>
      </c>
      <c r="I222">
        <v>44853</v>
      </c>
      <c r="J222">
        <v>69032</v>
      </c>
      <c r="K222">
        <v>211</v>
      </c>
      <c r="L222" s="1" t="s">
        <v>18</v>
      </c>
      <c r="M222" s="1" t="s">
        <v>57</v>
      </c>
      <c r="N222" s="1" t="s">
        <v>15</v>
      </c>
      <c r="O222">
        <v>1402</v>
      </c>
      <c r="P222">
        <v>68</v>
      </c>
      <c r="Q222">
        <v>23125</v>
      </c>
      <c r="R222" s="33">
        <f>(Posts[[#This Row],[Likes]]+Posts[[#This Row],[Comments]]+Posts[[#This Row],[Shares]])/Posts[[#This Row],[Impressions]]*100</f>
        <v>9.3795286825853346</v>
      </c>
      <c r="S222">
        <v>128</v>
      </c>
      <c r="T222">
        <f>Posts[[#This Row],[New_Followers]]-Posts[[#This Row],[Unfollows]]</f>
        <v>1334</v>
      </c>
      <c r="U222" s="32">
        <f>Posts[[#This Row],[Engagement Rate]]/Posts[[#This Row],[Ad_Spend]]</f>
        <v>4.0560124032801444E-4</v>
      </c>
    </row>
    <row r="223" spans="1:21" x14ac:dyDescent="0.25">
      <c r="A223" s="1" t="s">
        <v>282</v>
      </c>
      <c r="B223" s="1" t="s">
        <v>12</v>
      </c>
      <c r="C223" s="2">
        <v>45684</v>
      </c>
      <c r="D223" s="1" t="s">
        <v>54</v>
      </c>
      <c r="E223" t="s">
        <v>437</v>
      </c>
      <c r="F223">
        <v>4294</v>
      </c>
      <c r="G223">
        <v>423</v>
      </c>
      <c r="H223">
        <v>93</v>
      </c>
      <c r="I223">
        <v>29828</v>
      </c>
      <c r="J223">
        <v>73144</v>
      </c>
      <c r="K223">
        <v>298</v>
      </c>
      <c r="L223" s="1" t="s">
        <v>26</v>
      </c>
      <c r="M223" s="1" t="s">
        <v>13</v>
      </c>
      <c r="N223" s="1" t="s">
        <v>23</v>
      </c>
      <c r="O223">
        <v>1472</v>
      </c>
      <c r="P223">
        <v>296</v>
      </c>
      <c r="Q223">
        <v>7810</v>
      </c>
      <c r="R223" s="33">
        <f>(Posts[[#This Row],[Likes]]+Posts[[#This Row],[Comments]]+Posts[[#This Row],[Shares]])/Posts[[#This Row],[Impressions]]*100</f>
        <v>16.125787850341961</v>
      </c>
      <c r="S223">
        <v>26</v>
      </c>
      <c r="T223">
        <f>Posts[[#This Row],[New_Followers]]-Posts[[#This Row],[Unfollows]]</f>
        <v>1176</v>
      </c>
      <c r="U223" s="32">
        <f>Posts[[#This Row],[Engagement Rate]]/Posts[[#This Row],[Ad_Spend]]</f>
        <v>2.0647615685457058E-3</v>
      </c>
    </row>
    <row r="224" spans="1:21" x14ac:dyDescent="0.25">
      <c r="A224" s="1" t="s">
        <v>283</v>
      </c>
      <c r="B224" s="1" t="s">
        <v>12</v>
      </c>
      <c r="C224" s="2">
        <v>45686</v>
      </c>
      <c r="D224" s="1" t="s">
        <v>54</v>
      </c>
      <c r="E224" t="s">
        <v>438</v>
      </c>
      <c r="F224">
        <v>1334</v>
      </c>
      <c r="G224">
        <v>357</v>
      </c>
      <c r="H224">
        <v>257</v>
      </c>
      <c r="I224">
        <v>56910</v>
      </c>
      <c r="J224">
        <v>70606</v>
      </c>
      <c r="K224">
        <v>228</v>
      </c>
      <c r="L224" s="1" t="s">
        <v>26</v>
      </c>
      <c r="M224" s="1" t="s">
        <v>13</v>
      </c>
      <c r="N224" s="1" t="s">
        <v>23</v>
      </c>
      <c r="O224">
        <v>1472</v>
      </c>
      <c r="P224">
        <v>296</v>
      </c>
      <c r="Q224">
        <v>7810</v>
      </c>
      <c r="R224" s="33">
        <f>(Posts[[#This Row],[Likes]]+Posts[[#This Row],[Comments]]+Posts[[#This Row],[Shares]])/Posts[[#This Row],[Impressions]]*100</f>
        <v>3.4229485151994381</v>
      </c>
      <c r="S224">
        <v>290</v>
      </c>
      <c r="T224">
        <f>Posts[[#This Row],[New_Followers]]-Posts[[#This Row],[Unfollows]]</f>
        <v>1176</v>
      </c>
      <c r="U224" s="32">
        <f>Posts[[#This Row],[Engagement Rate]]/Posts[[#This Row],[Ad_Spend]]</f>
        <v>4.3827765879634288E-4</v>
      </c>
    </row>
    <row r="225" spans="1:21" x14ac:dyDescent="0.25">
      <c r="A225" s="1" t="s">
        <v>284</v>
      </c>
      <c r="B225" s="1" t="s">
        <v>11</v>
      </c>
      <c r="C225" s="2">
        <v>45689</v>
      </c>
      <c r="D225" s="1" t="s">
        <v>54</v>
      </c>
      <c r="E225" t="s">
        <v>49</v>
      </c>
      <c r="F225">
        <v>1934</v>
      </c>
      <c r="G225">
        <v>210</v>
      </c>
      <c r="H225">
        <v>393</v>
      </c>
      <c r="I225">
        <v>29129</v>
      </c>
      <c r="J225">
        <v>73287</v>
      </c>
      <c r="K225">
        <v>273</v>
      </c>
      <c r="L225" s="1" t="s">
        <v>26</v>
      </c>
      <c r="M225" s="1" t="s">
        <v>57</v>
      </c>
      <c r="N225" s="1" t="s">
        <v>23</v>
      </c>
      <c r="O225">
        <v>1402</v>
      </c>
      <c r="P225">
        <v>68</v>
      </c>
      <c r="Q225">
        <v>23125</v>
      </c>
      <c r="R225" s="33">
        <f>(Posts[[#This Row],[Likes]]+Posts[[#This Row],[Comments]]+Posts[[#This Row],[Shares]])/Posts[[#This Row],[Impressions]]*100</f>
        <v>8.7095334546328402</v>
      </c>
      <c r="S225">
        <v>145</v>
      </c>
      <c r="T225">
        <f>Posts[[#This Row],[New_Followers]]-Posts[[#This Row],[Unfollows]]</f>
        <v>1334</v>
      </c>
      <c r="U225" s="32">
        <f>Posts[[#This Row],[Engagement Rate]]/Posts[[#This Row],[Ad_Spend]]</f>
        <v>3.7662847371385254E-4</v>
      </c>
    </row>
    <row r="226" spans="1:21" x14ac:dyDescent="0.25">
      <c r="A226" s="1" t="s">
        <v>285</v>
      </c>
      <c r="B226" s="1" t="s">
        <v>17</v>
      </c>
      <c r="C226" s="2">
        <v>45689</v>
      </c>
      <c r="D226" s="1" t="s">
        <v>51</v>
      </c>
      <c r="E226" t="s">
        <v>55</v>
      </c>
      <c r="F226">
        <v>1079</v>
      </c>
      <c r="G226">
        <v>265</v>
      </c>
      <c r="H226">
        <v>190</v>
      </c>
      <c r="I226">
        <v>43786</v>
      </c>
      <c r="J226">
        <v>72428</v>
      </c>
      <c r="K226">
        <v>222</v>
      </c>
      <c r="L226" s="1" t="s">
        <v>22</v>
      </c>
      <c r="M226" s="1" t="s">
        <v>18</v>
      </c>
      <c r="N226" s="1" t="s">
        <v>19</v>
      </c>
      <c r="O226">
        <v>995</v>
      </c>
      <c r="P226">
        <v>86</v>
      </c>
      <c r="Q226">
        <v>22788</v>
      </c>
      <c r="R226" s="33">
        <f>(Posts[[#This Row],[Likes]]+Posts[[#This Row],[Comments]]+Posts[[#This Row],[Shares]])/Posts[[#This Row],[Impressions]]*100</f>
        <v>3.5034029141734799</v>
      </c>
      <c r="S226">
        <v>287</v>
      </c>
      <c r="T226">
        <f>Posts[[#This Row],[New_Followers]]-Posts[[#This Row],[Unfollows]]</f>
        <v>909</v>
      </c>
      <c r="U226" s="32">
        <f>Posts[[#This Row],[Engagement Rate]]/Posts[[#This Row],[Ad_Spend]]</f>
        <v>1.5373893778187993E-4</v>
      </c>
    </row>
    <row r="227" spans="1:21" x14ac:dyDescent="0.25">
      <c r="A227" s="1" t="s">
        <v>286</v>
      </c>
      <c r="B227" s="1" t="s">
        <v>17</v>
      </c>
      <c r="C227" s="2">
        <v>45691</v>
      </c>
      <c r="D227" s="1" t="s">
        <v>54</v>
      </c>
      <c r="E227" t="s">
        <v>436</v>
      </c>
      <c r="F227">
        <v>4995</v>
      </c>
      <c r="G227">
        <v>231</v>
      </c>
      <c r="H227">
        <v>94</v>
      </c>
      <c r="I227">
        <v>34431</v>
      </c>
      <c r="J227">
        <v>32560</v>
      </c>
      <c r="K227">
        <v>262</v>
      </c>
      <c r="L227" s="1" t="s">
        <v>18</v>
      </c>
      <c r="M227" s="1" t="s">
        <v>57</v>
      </c>
      <c r="N227" s="1" t="s">
        <v>19</v>
      </c>
      <c r="O227">
        <v>995</v>
      </c>
      <c r="P227">
        <v>86</v>
      </c>
      <c r="Q227">
        <v>22788</v>
      </c>
      <c r="R227" s="33">
        <f>(Posts[[#This Row],[Likes]]+Posts[[#This Row],[Comments]]+Posts[[#This Row],[Shares]])/Posts[[#This Row],[Impressions]]*100</f>
        <v>15.451192239551567</v>
      </c>
      <c r="S227">
        <v>34</v>
      </c>
      <c r="T227">
        <f>Posts[[#This Row],[New_Followers]]-Posts[[#This Row],[Unfollows]]</f>
        <v>909</v>
      </c>
      <c r="U227" s="32">
        <f>Posts[[#This Row],[Engagement Rate]]/Posts[[#This Row],[Ad_Spend]]</f>
        <v>6.7804073369982299E-4</v>
      </c>
    </row>
    <row r="228" spans="1:21" x14ac:dyDescent="0.25">
      <c r="A228" s="1" t="s">
        <v>287</v>
      </c>
      <c r="B228" s="1" t="s">
        <v>11</v>
      </c>
      <c r="C228" s="2">
        <v>45691</v>
      </c>
      <c r="D228" s="1" t="s">
        <v>51</v>
      </c>
      <c r="E228" t="s">
        <v>438</v>
      </c>
      <c r="F228">
        <v>1205</v>
      </c>
      <c r="G228">
        <v>486</v>
      </c>
      <c r="H228">
        <v>269</v>
      </c>
      <c r="I228">
        <v>23341</v>
      </c>
      <c r="J228">
        <v>42411</v>
      </c>
      <c r="K228">
        <v>184</v>
      </c>
      <c r="L228" s="1" t="s">
        <v>18</v>
      </c>
      <c r="M228" s="1" t="s">
        <v>57</v>
      </c>
      <c r="N228" s="1" t="s">
        <v>15</v>
      </c>
      <c r="O228">
        <v>1402</v>
      </c>
      <c r="P228">
        <v>68</v>
      </c>
      <c r="Q228">
        <v>23125</v>
      </c>
      <c r="R228" s="33">
        <f>(Posts[[#This Row],[Likes]]+Posts[[#This Row],[Comments]]+Posts[[#This Row],[Shares]])/Posts[[#This Row],[Impressions]]*100</f>
        <v>8.3972409065592739</v>
      </c>
      <c r="S228">
        <v>161</v>
      </c>
      <c r="T228">
        <f>Posts[[#This Row],[New_Followers]]-Posts[[#This Row],[Unfollows]]</f>
        <v>1334</v>
      </c>
      <c r="U228" s="32">
        <f>Posts[[#This Row],[Engagement Rate]]/Posts[[#This Row],[Ad_Spend]]</f>
        <v>3.6312393109445509E-4</v>
      </c>
    </row>
    <row r="229" spans="1:21" x14ac:dyDescent="0.25">
      <c r="A229" s="1" t="s">
        <v>288</v>
      </c>
      <c r="B229" s="1" t="s">
        <v>11</v>
      </c>
      <c r="C229" s="2">
        <v>45693</v>
      </c>
      <c r="D229" s="1" t="s">
        <v>51</v>
      </c>
      <c r="E229" t="s">
        <v>69</v>
      </c>
      <c r="F229">
        <v>3074</v>
      </c>
      <c r="G229">
        <v>371</v>
      </c>
      <c r="H229">
        <v>348</v>
      </c>
      <c r="I229">
        <v>24104</v>
      </c>
      <c r="J229">
        <v>57803</v>
      </c>
      <c r="K229">
        <v>213</v>
      </c>
      <c r="L229" s="1" t="s">
        <v>18</v>
      </c>
      <c r="M229" s="1" t="s">
        <v>57</v>
      </c>
      <c r="N229" s="1" t="s">
        <v>15</v>
      </c>
      <c r="O229">
        <v>1402</v>
      </c>
      <c r="P229">
        <v>68</v>
      </c>
      <c r="Q229">
        <v>23125</v>
      </c>
      <c r="R229" s="33">
        <f>(Posts[[#This Row],[Likes]]+Posts[[#This Row],[Comments]]+Posts[[#This Row],[Shares]])/Posts[[#This Row],[Impressions]]*100</f>
        <v>15.735977431131762</v>
      </c>
      <c r="S229">
        <v>30</v>
      </c>
      <c r="T229">
        <f>Posts[[#This Row],[New_Followers]]-Posts[[#This Row],[Unfollows]]</f>
        <v>1334</v>
      </c>
      <c r="U229" s="32">
        <f>Posts[[#This Row],[Engagement Rate]]/Posts[[#This Row],[Ad_Spend]]</f>
        <v>6.8047469972461671E-4</v>
      </c>
    </row>
    <row r="230" spans="1:21" x14ac:dyDescent="0.25">
      <c r="A230" s="1" t="s">
        <v>289</v>
      </c>
      <c r="B230" s="1" t="s">
        <v>17</v>
      </c>
      <c r="C230" s="2">
        <v>45693</v>
      </c>
      <c r="D230" s="1" t="s">
        <v>51</v>
      </c>
      <c r="E230" t="s">
        <v>435</v>
      </c>
      <c r="F230">
        <v>3029</v>
      </c>
      <c r="G230">
        <v>440</v>
      </c>
      <c r="H230">
        <v>66</v>
      </c>
      <c r="I230">
        <v>23815</v>
      </c>
      <c r="J230">
        <v>47895</v>
      </c>
      <c r="K230">
        <v>210</v>
      </c>
      <c r="L230" s="1" t="s">
        <v>26</v>
      </c>
      <c r="M230" s="1" t="s">
        <v>14</v>
      </c>
      <c r="N230" s="1" t="s">
        <v>19</v>
      </c>
      <c r="O230">
        <v>995</v>
      </c>
      <c r="P230">
        <v>86</v>
      </c>
      <c r="Q230">
        <v>22788</v>
      </c>
      <c r="R230" s="33">
        <f>(Posts[[#This Row],[Likes]]+Posts[[#This Row],[Comments]]+Posts[[#This Row],[Shares]])/Posts[[#This Row],[Impressions]]*100</f>
        <v>14.843585975225698</v>
      </c>
      <c r="S230">
        <v>37</v>
      </c>
      <c r="T230">
        <f>Posts[[#This Row],[New_Followers]]-Posts[[#This Row],[Unfollows]]</f>
        <v>909</v>
      </c>
      <c r="U230" s="32">
        <f>Posts[[#This Row],[Engagement Rate]]/Posts[[#This Row],[Ad_Spend]]</f>
        <v>6.5137730275696411E-4</v>
      </c>
    </row>
    <row r="231" spans="1:21" x14ac:dyDescent="0.25">
      <c r="A231" s="1" t="s">
        <v>290</v>
      </c>
      <c r="B231" s="1" t="s">
        <v>17</v>
      </c>
      <c r="C231" s="2">
        <v>45696</v>
      </c>
      <c r="D231" s="1" t="s">
        <v>51</v>
      </c>
      <c r="E231" t="s">
        <v>74</v>
      </c>
      <c r="F231">
        <v>4752</v>
      </c>
      <c r="G231">
        <v>334</v>
      </c>
      <c r="H231">
        <v>56</v>
      </c>
      <c r="I231">
        <v>48017</v>
      </c>
      <c r="J231">
        <v>55534</v>
      </c>
      <c r="K231">
        <v>270</v>
      </c>
      <c r="L231" s="1" t="s">
        <v>26</v>
      </c>
      <c r="M231" s="1" t="s">
        <v>14</v>
      </c>
      <c r="N231" s="1" t="s">
        <v>19</v>
      </c>
      <c r="O231">
        <v>995</v>
      </c>
      <c r="P231">
        <v>86</v>
      </c>
      <c r="Q231">
        <v>22788</v>
      </c>
      <c r="R231" s="33">
        <f>(Posts[[#This Row],[Likes]]+Posts[[#This Row],[Comments]]+Posts[[#This Row],[Shares]])/Posts[[#This Row],[Impressions]]*100</f>
        <v>10.708707332819627</v>
      </c>
      <c r="S231">
        <v>92</v>
      </c>
      <c r="T231">
        <f>Posts[[#This Row],[New_Followers]]-Posts[[#This Row],[Unfollows]]</f>
        <v>909</v>
      </c>
      <c r="U231" s="32">
        <f>Posts[[#This Row],[Engagement Rate]]/Posts[[#This Row],[Ad_Spend]]</f>
        <v>4.6992747642705051E-4</v>
      </c>
    </row>
    <row r="232" spans="1:21" x14ac:dyDescent="0.25">
      <c r="A232" s="1" t="s">
        <v>291</v>
      </c>
      <c r="B232" s="1" t="s">
        <v>11</v>
      </c>
      <c r="C232" s="2">
        <v>45702</v>
      </c>
      <c r="D232" s="1" t="s">
        <v>54</v>
      </c>
      <c r="E232" t="s">
        <v>69</v>
      </c>
      <c r="F232">
        <v>2329</v>
      </c>
      <c r="G232">
        <v>373</v>
      </c>
      <c r="H232">
        <v>291</v>
      </c>
      <c r="I232">
        <v>49577</v>
      </c>
      <c r="J232">
        <v>28002</v>
      </c>
      <c r="K232">
        <v>82</v>
      </c>
      <c r="L232" s="1" t="s">
        <v>22</v>
      </c>
      <c r="M232" s="1" t="s">
        <v>18</v>
      </c>
      <c r="N232" s="1" t="s">
        <v>19</v>
      </c>
      <c r="O232">
        <v>1402</v>
      </c>
      <c r="P232">
        <v>68</v>
      </c>
      <c r="Q232">
        <v>23125</v>
      </c>
      <c r="R232" s="33">
        <f>(Posts[[#This Row],[Likes]]+Posts[[#This Row],[Comments]]+Posts[[#This Row],[Shares]])/Posts[[#This Row],[Impressions]]*100</f>
        <v>6.0370736430199488</v>
      </c>
      <c r="S232">
        <v>222</v>
      </c>
      <c r="T232">
        <f>Posts[[#This Row],[New_Followers]]-Posts[[#This Row],[Unfollows]]</f>
        <v>1334</v>
      </c>
      <c r="U232" s="32">
        <f>Posts[[#This Row],[Engagement Rate]]/Posts[[#This Row],[Ad_Spend]]</f>
        <v>2.6106264402248427E-4</v>
      </c>
    </row>
    <row r="233" spans="1:21" x14ac:dyDescent="0.25">
      <c r="A233" s="1" t="s">
        <v>292</v>
      </c>
      <c r="B233" s="1" t="s">
        <v>11</v>
      </c>
      <c r="C233" s="2">
        <v>45702</v>
      </c>
      <c r="D233" s="1" t="s">
        <v>54</v>
      </c>
      <c r="E233" t="s">
        <v>55</v>
      </c>
      <c r="F233">
        <v>4891</v>
      </c>
      <c r="G233">
        <v>450</v>
      </c>
      <c r="H233">
        <v>387</v>
      </c>
      <c r="I233">
        <v>48746</v>
      </c>
      <c r="J233">
        <v>37312</v>
      </c>
      <c r="K233">
        <v>154</v>
      </c>
      <c r="L233" s="1" t="s">
        <v>22</v>
      </c>
      <c r="M233" s="1" t="s">
        <v>18</v>
      </c>
      <c r="N233" s="1" t="s">
        <v>19</v>
      </c>
      <c r="O233">
        <v>1402</v>
      </c>
      <c r="P233">
        <v>68</v>
      </c>
      <c r="Q233">
        <v>23125</v>
      </c>
      <c r="R233" s="33">
        <f>(Posts[[#This Row],[Likes]]+Posts[[#This Row],[Comments]]+Posts[[#This Row],[Shares]])/Posts[[#This Row],[Impressions]]*100</f>
        <v>11.750707750379519</v>
      </c>
      <c r="S233">
        <v>66</v>
      </c>
      <c r="T233">
        <f>Posts[[#This Row],[New_Followers]]-Posts[[#This Row],[Unfollows]]</f>
        <v>1334</v>
      </c>
      <c r="U233" s="32">
        <f>Posts[[#This Row],[Engagement Rate]]/Posts[[#This Row],[Ad_Spend]]</f>
        <v>5.0813871352992513E-4</v>
      </c>
    </row>
    <row r="234" spans="1:21" x14ac:dyDescent="0.25">
      <c r="A234" s="1" t="s">
        <v>293</v>
      </c>
      <c r="B234" s="1" t="s">
        <v>11</v>
      </c>
      <c r="C234" s="2">
        <v>45704</v>
      </c>
      <c r="D234" s="1" t="s">
        <v>54</v>
      </c>
      <c r="E234" t="s">
        <v>74</v>
      </c>
      <c r="F234">
        <v>1333</v>
      </c>
      <c r="G234">
        <v>286</v>
      </c>
      <c r="H234">
        <v>298</v>
      </c>
      <c r="I234">
        <v>36174</v>
      </c>
      <c r="J234">
        <v>34517</v>
      </c>
      <c r="K234">
        <v>170</v>
      </c>
      <c r="L234" s="1" t="s">
        <v>22</v>
      </c>
      <c r="M234" s="1" t="s">
        <v>18</v>
      </c>
      <c r="N234" s="1" t="s">
        <v>19</v>
      </c>
      <c r="O234">
        <v>1402</v>
      </c>
      <c r="P234">
        <v>68</v>
      </c>
      <c r="Q234">
        <v>23125</v>
      </c>
      <c r="R234" s="33">
        <f>(Posts[[#This Row],[Likes]]+Posts[[#This Row],[Comments]]+Posts[[#This Row],[Shares]])/Posts[[#This Row],[Impressions]]*100</f>
        <v>5.2993862995521646</v>
      </c>
      <c r="S234">
        <v>243</v>
      </c>
      <c r="T234">
        <f>Posts[[#This Row],[New_Followers]]-Posts[[#This Row],[Unfollows]]</f>
        <v>1334</v>
      </c>
      <c r="U234" s="32">
        <f>Posts[[#This Row],[Engagement Rate]]/Posts[[#This Row],[Ad_Spend]]</f>
        <v>2.2916265079144494E-4</v>
      </c>
    </row>
    <row r="235" spans="1:21" x14ac:dyDescent="0.25">
      <c r="A235" s="10" t="s">
        <v>294</v>
      </c>
      <c r="B235" s="10" t="s">
        <v>17</v>
      </c>
      <c r="C235" s="23">
        <v>45705</v>
      </c>
      <c r="D235" s="10" t="s">
        <v>51</v>
      </c>
      <c r="E235" s="10" t="s">
        <v>436</v>
      </c>
      <c r="F235" s="10">
        <v>4796</v>
      </c>
      <c r="G235" s="10">
        <v>427</v>
      </c>
      <c r="H235" s="10">
        <v>339</v>
      </c>
      <c r="I235" s="10">
        <v>30752</v>
      </c>
      <c r="J235" s="10">
        <v>33870</v>
      </c>
      <c r="K235" s="10">
        <v>298</v>
      </c>
      <c r="L235" s="10" t="s">
        <v>22</v>
      </c>
      <c r="M235" s="10" t="s">
        <v>18</v>
      </c>
      <c r="N235" s="10" t="s">
        <v>19</v>
      </c>
      <c r="O235" s="10">
        <v>995</v>
      </c>
      <c r="P235" s="10">
        <v>86</v>
      </c>
      <c r="Q235" s="10">
        <v>22788</v>
      </c>
      <c r="R235" s="34">
        <f>(Posts[[#This Row],[Likes]]+Posts[[#This Row],[Comments]]+Posts[[#This Row],[Shares]])/Posts[[#This Row],[Impressions]]*100</f>
        <v>18.086628511966701</v>
      </c>
      <c r="S235">
        <v>11</v>
      </c>
      <c r="T235" s="10">
        <f>Posts[[#This Row],[New_Followers]]-Posts[[#This Row],[Unfollows]]</f>
        <v>909</v>
      </c>
      <c r="U235" s="10">
        <f>Posts[[#This Row],[Engagement Rate]]/Posts[[#This Row],[Ad_Spend]]</f>
        <v>7.9369091240857914E-4</v>
      </c>
    </row>
    <row r="236" spans="1:21" x14ac:dyDescent="0.25">
      <c r="A236" s="1" t="s">
        <v>295</v>
      </c>
      <c r="B236" s="1" t="s">
        <v>11</v>
      </c>
      <c r="C236" s="2">
        <v>45707</v>
      </c>
      <c r="D236" s="1" t="s">
        <v>51</v>
      </c>
      <c r="E236" t="s">
        <v>439</v>
      </c>
      <c r="F236">
        <v>2422</v>
      </c>
      <c r="G236">
        <v>455</v>
      </c>
      <c r="H236">
        <v>376</v>
      </c>
      <c r="I236">
        <v>23428</v>
      </c>
      <c r="J236">
        <v>46775</v>
      </c>
      <c r="K236">
        <v>259</v>
      </c>
      <c r="L236" s="1" t="s">
        <v>18</v>
      </c>
      <c r="M236" s="1" t="s">
        <v>57</v>
      </c>
      <c r="N236" s="1" t="s">
        <v>15</v>
      </c>
      <c r="O236">
        <v>1402</v>
      </c>
      <c r="P236">
        <v>68</v>
      </c>
      <c r="Q236">
        <v>23125</v>
      </c>
      <c r="R236" s="33">
        <f>(Posts[[#This Row],[Likes]]+Posts[[#This Row],[Comments]]+Posts[[#This Row],[Shares]])/Posts[[#This Row],[Impressions]]*100</f>
        <v>13.885094758408743</v>
      </c>
      <c r="S236">
        <v>48</v>
      </c>
      <c r="T236">
        <f>Posts[[#This Row],[New_Followers]]-Posts[[#This Row],[Unfollows]]</f>
        <v>1334</v>
      </c>
      <c r="U236" s="32">
        <f>Posts[[#This Row],[Engagement Rate]]/Posts[[#This Row],[Ad_Spend]]</f>
        <v>6.0043653009335103E-4</v>
      </c>
    </row>
    <row r="237" spans="1:21" x14ac:dyDescent="0.25">
      <c r="A237" s="1" t="s">
        <v>296</v>
      </c>
      <c r="B237" s="1" t="s">
        <v>12</v>
      </c>
      <c r="C237" s="2">
        <v>45708</v>
      </c>
      <c r="D237" s="1" t="s">
        <v>48</v>
      </c>
      <c r="E237" t="s">
        <v>89</v>
      </c>
      <c r="F237">
        <v>4957</v>
      </c>
      <c r="G237">
        <v>262</v>
      </c>
      <c r="H237">
        <v>365</v>
      </c>
      <c r="I237">
        <v>49199</v>
      </c>
      <c r="J237">
        <v>40314</v>
      </c>
      <c r="K237">
        <v>216</v>
      </c>
      <c r="L237" s="1" t="s">
        <v>26</v>
      </c>
      <c r="M237" s="1" t="s">
        <v>22</v>
      </c>
      <c r="N237" s="1" t="s">
        <v>9</v>
      </c>
      <c r="O237">
        <v>1472</v>
      </c>
      <c r="P237">
        <v>296</v>
      </c>
      <c r="Q237">
        <v>7810</v>
      </c>
      <c r="R237" s="33">
        <f>(Posts[[#This Row],[Likes]]+Posts[[#This Row],[Comments]]+Posts[[#This Row],[Shares]])/Posts[[#This Row],[Impressions]]*100</f>
        <v>11.349824183418363</v>
      </c>
      <c r="S237">
        <v>74</v>
      </c>
      <c r="T237">
        <f>Posts[[#This Row],[New_Followers]]-Posts[[#This Row],[Unfollows]]</f>
        <v>1176</v>
      </c>
      <c r="U237" s="32">
        <f>Posts[[#This Row],[Engagement Rate]]/Posts[[#This Row],[Ad_Spend]]</f>
        <v>1.4532425330881387E-3</v>
      </c>
    </row>
    <row r="238" spans="1:21" x14ac:dyDescent="0.25">
      <c r="A238" s="36" t="s">
        <v>297</v>
      </c>
      <c r="B238" s="36" t="s">
        <v>12</v>
      </c>
      <c r="C238" s="40">
        <v>45718</v>
      </c>
      <c r="D238" s="36" t="s">
        <v>54</v>
      </c>
      <c r="E238" s="36" t="s">
        <v>439</v>
      </c>
      <c r="F238" s="36">
        <v>4425</v>
      </c>
      <c r="G238" s="36">
        <v>185</v>
      </c>
      <c r="H238" s="36">
        <v>162</v>
      </c>
      <c r="I238" s="36">
        <v>24610</v>
      </c>
      <c r="J238" s="36">
        <v>21342</v>
      </c>
      <c r="K238" s="36">
        <v>158</v>
      </c>
      <c r="L238" s="36" t="s">
        <v>26</v>
      </c>
      <c r="M238" s="36" t="s">
        <v>13</v>
      </c>
      <c r="N238" s="36" t="s">
        <v>23</v>
      </c>
      <c r="O238" s="36">
        <v>1472</v>
      </c>
      <c r="P238" s="36">
        <v>296</v>
      </c>
      <c r="Q238" s="36">
        <v>7810</v>
      </c>
      <c r="R238" s="33">
        <f>(Posts[[#This Row],[Likes]]+Posts[[#This Row],[Comments]]+Posts[[#This Row],[Shares]])/Posts[[#This Row],[Impressions]]*100</f>
        <v>19.390491670052825</v>
      </c>
      <c r="S238">
        <v>7</v>
      </c>
      <c r="T238" s="36">
        <f>Posts[[#This Row],[New_Followers]]-Posts[[#This Row],[Unfollows]]</f>
        <v>1176</v>
      </c>
      <c r="U238" s="36">
        <f>Posts[[#This Row],[Engagement Rate]]/Posts[[#This Row],[Ad_Spend]]</f>
        <v>2.4827774225419752E-3</v>
      </c>
    </row>
    <row r="239" spans="1:21" x14ac:dyDescent="0.25">
      <c r="A239" s="1" t="s">
        <v>298</v>
      </c>
      <c r="B239" s="1" t="s">
        <v>17</v>
      </c>
      <c r="C239" s="2">
        <v>45720</v>
      </c>
      <c r="D239" s="1" t="s">
        <v>54</v>
      </c>
      <c r="E239" t="s">
        <v>69</v>
      </c>
      <c r="F239">
        <v>2177</v>
      </c>
      <c r="G239">
        <v>258</v>
      </c>
      <c r="H239">
        <v>292</v>
      </c>
      <c r="I239">
        <v>47276</v>
      </c>
      <c r="J239">
        <v>51324</v>
      </c>
      <c r="K239">
        <v>143</v>
      </c>
      <c r="L239" s="1" t="s">
        <v>18</v>
      </c>
      <c r="M239" s="1" t="s">
        <v>57</v>
      </c>
      <c r="N239" s="1" t="s">
        <v>19</v>
      </c>
      <c r="O239">
        <v>995</v>
      </c>
      <c r="P239">
        <v>86</v>
      </c>
      <c r="Q239">
        <v>22788</v>
      </c>
      <c r="R239" s="33">
        <f>(Posts[[#This Row],[Likes]]+Posts[[#This Row],[Comments]]+Posts[[#This Row],[Shares]])/Posts[[#This Row],[Impressions]]*100</f>
        <v>5.7682545054573149</v>
      </c>
      <c r="S239">
        <v>231</v>
      </c>
      <c r="T239">
        <f>Posts[[#This Row],[New_Followers]]-Posts[[#This Row],[Unfollows]]</f>
        <v>909</v>
      </c>
      <c r="U239" s="32">
        <f>Posts[[#This Row],[Engagement Rate]]/Posts[[#This Row],[Ad_Spend]]</f>
        <v>2.5312684331478476E-4</v>
      </c>
    </row>
    <row r="240" spans="1:21" x14ac:dyDescent="0.25">
      <c r="A240" s="1" t="s">
        <v>299</v>
      </c>
      <c r="B240" s="1" t="s">
        <v>11</v>
      </c>
      <c r="C240" s="2">
        <v>45722</v>
      </c>
      <c r="D240" s="1" t="s">
        <v>54</v>
      </c>
      <c r="E240" t="s">
        <v>89</v>
      </c>
      <c r="F240">
        <v>4851</v>
      </c>
      <c r="G240">
        <v>460</v>
      </c>
      <c r="H240">
        <v>212</v>
      </c>
      <c r="I240">
        <v>58075</v>
      </c>
      <c r="J240">
        <v>59574</v>
      </c>
      <c r="K240">
        <v>239</v>
      </c>
      <c r="L240" s="1" t="s">
        <v>26</v>
      </c>
      <c r="M240" s="1" t="s">
        <v>57</v>
      </c>
      <c r="N240" s="1" t="s">
        <v>23</v>
      </c>
      <c r="O240">
        <v>1402</v>
      </c>
      <c r="P240">
        <v>68</v>
      </c>
      <c r="Q240">
        <v>23125</v>
      </c>
      <c r="R240" s="33">
        <f>(Posts[[#This Row],[Likes]]+Posts[[#This Row],[Comments]]+Posts[[#This Row],[Shares]])/Posts[[#This Row],[Impressions]]*100</f>
        <v>9.5101162290142049</v>
      </c>
      <c r="S240">
        <v>119</v>
      </c>
      <c r="T240">
        <f>Posts[[#This Row],[New_Followers]]-Posts[[#This Row],[Unfollows]]</f>
        <v>1334</v>
      </c>
      <c r="U240" s="32">
        <f>Posts[[#This Row],[Engagement Rate]]/Posts[[#This Row],[Ad_Spend]]</f>
        <v>4.112482693627764E-4</v>
      </c>
    </row>
    <row r="241" spans="1:21" x14ac:dyDescent="0.25">
      <c r="A241" s="1" t="s">
        <v>300</v>
      </c>
      <c r="B241" s="1" t="s">
        <v>17</v>
      </c>
      <c r="C241" s="2">
        <v>45723</v>
      </c>
      <c r="D241" s="1" t="s">
        <v>54</v>
      </c>
      <c r="E241" t="s">
        <v>89</v>
      </c>
      <c r="F241">
        <v>4234</v>
      </c>
      <c r="G241">
        <v>486</v>
      </c>
      <c r="H241">
        <v>276</v>
      </c>
      <c r="I241">
        <v>56623</v>
      </c>
      <c r="J241">
        <v>41343</v>
      </c>
      <c r="K241">
        <v>184</v>
      </c>
      <c r="L241" s="1" t="s">
        <v>22</v>
      </c>
      <c r="M241" s="1" t="s">
        <v>57</v>
      </c>
      <c r="N241" s="1" t="s">
        <v>23</v>
      </c>
      <c r="O241">
        <v>995</v>
      </c>
      <c r="P241">
        <v>86</v>
      </c>
      <c r="Q241">
        <v>22788</v>
      </c>
      <c r="R241" s="33">
        <f>(Posts[[#This Row],[Likes]]+Posts[[#This Row],[Comments]]+Posts[[#This Row],[Shares]])/Posts[[#This Row],[Impressions]]*100</f>
        <v>8.8232696960599046</v>
      </c>
      <c r="S241">
        <v>142</v>
      </c>
      <c r="T241">
        <f>Posts[[#This Row],[New_Followers]]-Posts[[#This Row],[Unfollows]]</f>
        <v>909</v>
      </c>
      <c r="U241" s="32">
        <f>Posts[[#This Row],[Engagement Rate]]/Posts[[#This Row],[Ad_Spend]]</f>
        <v>3.8718929682551802E-4</v>
      </c>
    </row>
    <row r="242" spans="1:21" x14ac:dyDescent="0.25">
      <c r="A242" s="1" t="s">
        <v>301</v>
      </c>
      <c r="B242" s="1" t="s">
        <v>12</v>
      </c>
      <c r="C242" s="2">
        <v>45723</v>
      </c>
      <c r="D242" s="1" t="s">
        <v>54</v>
      </c>
      <c r="E242" t="s">
        <v>55</v>
      </c>
      <c r="F242">
        <v>4310</v>
      </c>
      <c r="G242">
        <v>284</v>
      </c>
      <c r="H242">
        <v>306</v>
      </c>
      <c r="I242">
        <v>44606</v>
      </c>
      <c r="J242">
        <v>42604</v>
      </c>
      <c r="K242">
        <v>290</v>
      </c>
      <c r="L242" s="1" t="s">
        <v>26</v>
      </c>
      <c r="M242" s="1" t="s">
        <v>13</v>
      </c>
      <c r="N242" s="1" t="s">
        <v>23</v>
      </c>
      <c r="O242">
        <v>1472</v>
      </c>
      <c r="P242">
        <v>296</v>
      </c>
      <c r="Q242">
        <v>7810</v>
      </c>
      <c r="R242" s="33">
        <f>(Posts[[#This Row],[Likes]]+Posts[[#This Row],[Comments]]+Posts[[#This Row],[Shares]])/Posts[[#This Row],[Impressions]]*100</f>
        <v>10.985069273191947</v>
      </c>
      <c r="S242">
        <v>84</v>
      </c>
      <c r="T242">
        <f>Posts[[#This Row],[New_Followers]]-Posts[[#This Row],[Unfollows]]</f>
        <v>1176</v>
      </c>
      <c r="U242" s="32">
        <f>Posts[[#This Row],[Engagement Rate]]/Posts[[#This Row],[Ad_Spend]]</f>
        <v>1.4065389594355886E-3</v>
      </c>
    </row>
    <row r="243" spans="1:21" x14ac:dyDescent="0.25">
      <c r="A243" s="1" t="s">
        <v>302</v>
      </c>
      <c r="B243" s="1" t="s">
        <v>11</v>
      </c>
      <c r="C243" s="2">
        <v>45724</v>
      </c>
      <c r="D243" s="1" t="s">
        <v>51</v>
      </c>
      <c r="E243" t="s">
        <v>55</v>
      </c>
      <c r="F243">
        <v>2244</v>
      </c>
      <c r="G243">
        <v>392</v>
      </c>
      <c r="H243">
        <v>231</v>
      </c>
      <c r="I243">
        <v>25834</v>
      </c>
      <c r="J243">
        <v>50906</v>
      </c>
      <c r="K243">
        <v>165</v>
      </c>
      <c r="L243" s="1" t="s">
        <v>18</v>
      </c>
      <c r="M243" s="1" t="s">
        <v>57</v>
      </c>
      <c r="N243" s="1" t="s">
        <v>15</v>
      </c>
      <c r="O243">
        <v>1402</v>
      </c>
      <c r="P243">
        <v>68</v>
      </c>
      <c r="Q243">
        <v>23125</v>
      </c>
      <c r="R243" s="33">
        <f>(Posts[[#This Row],[Likes]]+Posts[[#This Row],[Comments]]+Posts[[#This Row],[Shares]])/Posts[[#This Row],[Impressions]]*100</f>
        <v>11.097778121854921</v>
      </c>
      <c r="S243">
        <v>80</v>
      </c>
      <c r="T243">
        <f>Posts[[#This Row],[New_Followers]]-Posts[[#This Row],[Unfollows]]</f>
        <v>1334</v>
      </c>
      <c r="U243" s="32">
        <f>Posts[[#This Row],[Engagement Rate]]/Posts[[#This Row],[Ad_Spend]]</f>
        <v>4.7990391878291547E-4</v>
      </c>
    </row>
    <row r="244" spans="1:21" x14ac:dyDescent="0.25">
      <c r="A244" s="1" t="s">
        <v>303</v>
      </c>
      <c r="B244" s="1" t="s">
        <v>17</v>
      </c>
      <c r="C244" s="2">
        <v>45725</v>
      </c>
      <c r="D244" s="1" t="s">
        <v>54</v>
      </c>
      <c r="E244" t="s">
        <v>74</v>
      </c>
      <c r="F244">
        <v>2754</v>
      </c>
      <c r="G244">
        <v>215</v>
      </c>
      <c r="H244">
        <v>264</v>
      </c>
      <c r="I244">
        <v>27762</v>
      </c>
      <c r="J244">
        <v>70203</v>
      </c>
      <c r="K244">
        <v>289</v>
      </c>
      <c r="L244" s="1" t="s">
        <v>18</v>
      </c>
      <c r="M244" s="1" t="s">
        <v>57</v>
      </c>
      <c r="N244" s="1" t="s">
        <v>19</v>
      </c>
      <c r="O244">
        <v>995</v>
      </c>
      <c r="P244">
        <v>86</v>
      </c>
      <c r="Q244">
        <v>22788</v>
      </c>
      <c r="R244" s="33">
        <f>(Posts[[#This Row],[Likes]]+Posts[[#This Row],[Comments]]+Posts[[#This Row],[Shares]])/Posts[[#This Row],[Impressions]]*100</f>
        <v>11.645414595490239</v>
      </c>
      <c r="S244">
        <v>69</v>
      </c>
      <c r="T244">
        <f>Posts[[#This Row],[New_Followers]]-Posts[[#This Row],[Unfollows]]</f>
        <v>909</v>
      </c>
      <c r="U244" s="32">
        <f>Posts[[#This Row],[Engagement Rate]]/Posts[[#This Row],[Ad_Spend]]</f>
        <v>5.1103276265974365E-4</v>
      </c>
    </row>
    <row r="245" spans="1:21" x14ac:dyDescent="0.25">
      <c r="A245" s="1" t="s">
        <v>304</v>
      </c>
      <c r="B245" s="1" t="s">
        <v>17</v>
      </c>
      <c r="C245" s="2">
        <v>45734</v>
      </c>
      <c r="D245" s="1" t="s">
        <v>51</v>
      </c>
      <c r="E245" t="s">
        <v>49</v>
      </c>
      <c r="F245">
        <v>3418</v>
      </c>
      <c r="G245">
        <v>188</v>
      </c>
      <c r="H245">
        <v>387</v>
      </c>
      <c r="I245">
        <v>57431</v>
      </c>
      <c r="J245">
        <v>36933</v>
      </c>
      <c r="K245">
        <v>202</v>
      </c>
      <c r="L245" s="1" t="s">
        <v>14</v>
      </c>
      <c r="M245" s="1" t="s">
        <v>18</v>
      </c>
      <c r="N245" s="1" t="s">
        <v>19</v>
      </c>
      <c r="O245">
        <v>995</v>
      </c>
      <c r="P245">
        <v>86</v>
      </c>
      <c r="Q245">
        <v>22788</v>
      </c>
      <c r="R245" s="33">
        <f>(Posts[[#This Row],[Likes]]+Posts[[#This Row],[Comments]]+Posts[[#This Row],[Shares]])/Posts[[#This Row],[Impressions]]*100</f>
        <v>6.9526910553533803</v>
      </c>
      <c r="S245">
        <v>203</v>
      </c>
      <c r="T245">
        <f>Posts[[#This Row],[New_Followers]]-Posts[[#This Row],[Unfollows]]</f>
        <v>909</v>
      </c>
      <c r="U245" s="32">
        <f>Posts[[#This Row],[Engagement Rate]]/Posts[[#This Row],[Ad_Spend]]</f>
        <v>3.0510317076326928E-4</v>
      </c>
    </row>
    <row r="246" spans="1:21" x14ac:dyDescent="0.25">
      <c r="A246" s="1" t="s">
        <v>305</v>
      </c>
      <c r="B246" s="1" t="s">
        <v>17</v>
      </c>
      <c r="C246" s="2">
        <v>45736</v>
      </c>
      <c r="D246" s="1" t="s">
        <v>51</v>
      </c>
      <c r="E246" t="s">
        <v>439</v>
      </c>
      <c r="F246">
        <v>3393</v>
      </c>
      <c r="G246">
        <v>104</v>
      </c>
      <c r="H246">
        <v>79</v>
      </c>
      <c r="I246">
        <v>30025</v>
      </c>
      <c r="J246">
        <v>21593</v>
      </c>
      <c r="K246">
        <v>165</v>
      </c>
      <c r="L246" s="1" t="s">
        <v>14</v>
      </c>
      <c r="M246" s="1" t="s">
        <v>18</v>
      </c>
      <c r="N246" s="1" t="s">
        <v>19</v>
      </c>
      <c r="O246">
        <v>995</v>
      </c>
      <c r="P246">
        <v>86</v>
      </c>
      <c r="Q246">
        <v>22788</v>
      </c>
      <c r="R246" s="33">
        <f>(Posts[[#This Row],[Likes]]+Posts[[#This Row],[Comments]]+Posts[[#This Row],[Shares]])/Posts[[#This Row],[Impressions]]*100</f>
        <v>11.910074937552039</v>
      </c>
      <c r="S246">
        <v>65</v>
      </c>
      <c r="T246">
        <f>Posts[[#This Row],[New_Followers]]-Posts[[#This Row],[Unfollows]]</f>
        <v>909</v>
      </c>
      <c r="U246" s="32">
        <f>Posts[[#This Row],[Engagement Rate]]/Posts[[#This Row],[Ad_Spend]]</f>
        <v>5.2264678504265576E-4</v>
      </c>
    </row>
    <row r="247" spans="1:21" x14ac:dyDescent="0.25">
      <c r="A247" s="1" t="s">
        <v>306</v>
      </c>
      <c r="B247" s="1" t="s">
        <v>17</v>
      </c>
      <c r="C247" s="2">
        <v>45736</v>
      </c>
      <c r="D247" s="1" t="s">
        <v>54</v>
      </c>
      <c r="E247" t="s">
        <v>74</v>
      </c>
      <c r="F247">
        <v>1564</v>
      </c>
      <c r="G247">
        <v>362</v>
      </c>
      <c r="H247">
        <v>371</v>
      </c>
      <c r="I247">
        <v>42075</v>
      </c>
      <c r="J247">
        <v>66659</v>
      </c>
      <c r="K247">
        <v>205</v>
      </c>
      <c r="L247" s="1" t="s">
        <v>22</v>
      </c>
      <c r="M247" s="1" t="s">
        <v>57</v>
      </c>
      <c r="N247" s="1" t="s">
        <v>23</v>
      </c>
      <c r="O247">
        <v>995</v>
      </c>
      <c r="P247">
        <v>86</v>
      </c>
      <c r="Q247">
        <v>22788</v>
      </c>
      <c r="R247" s="33">
        <f>(Posts[[#This Row],[Likes]]+Posts[[#This Row],[Comments]]+Posts[[#This Row],[Shares]])/Posts[[#This Row],[Impressions]]*100</f>
        <v>5.4592988710635764</v>
      </c>
      <c r="S247">
        <v>238</v>
      </c>
      <c r="T247">
        <f>Posts[[#This Row],[New_Followers]]-Posts[[#This Row],[Unfollows]]</f>
        <v>909</v>
      </c>
      <c r="U247" s="32">
        <f>Posts[[#This Row],[Engagement Rate]]/Posts[[#This Row],[Ad_Spend]]</f>
        <v>2.3956902190027982E-4</v>
      </c>
    </row>
    <row r="248" spans="1:21" x14ac:dyDescent="0.25">
      <c r="A248" s="1" t="s">
        <v>307</v>
      </c>
      <c r="B248" s="1" t="s">
        <v>12</v>
      </c>
      <c r="C248" s="2">
        <v>45736</v>
      </c>
      <c r="D248" s="1" t="s">
        <v>48</v>
      </c>
      <c r="E248" t="s">
        <v>74</v>
      </c>
      <c r="F248">
        <v>1453</v>
      </c>
      <c r="G248">
        <v>156</v>
      </c>
      <c r="H248">
        <v>178</v>
      </c>
      <c r="I248">
        <v>52980</v>
      </c>
      <c r="J248">
        <v>57180</v>
      </c>
      <c r="K248">
        <v>286</v>
      </c>
      <c r="L248" s="1" t="s">
        <v>26</v>
      </c>
      <c r="M248" s="1" t="s">
        <v>22</v>
      </c>
      <c r="N248" s="1" t="s">
        <v>9</v>
      </c>
      <c r="O248">
        <v>1472</v>
      </c>
      <c r="P248">
        <v>296</v>
      </c>
      <c r="Q248">
        <v>7810</v>
      </c>
      <c r="R248" s="33">
        <f>(Posts[[#This Row],[Likes]]+Posts[[#This Row],[Comments]]+Posts[[#This Row],[Shares]])/Posts[[#This Row],[Impressions]]*100</f>
        <v>3.3729709324273314</v>
      </c>
      <c r="S248">
        <v>292</v>
      </c>
      <c r="T248">
        <f>Posts[[#This Row],[New_Followers]]-Posts[[#This Row],[Unfollows]]</f>
        <v>1176</v>
      </c>
      <c r="U248" s="32">
        <f>Posts[[#This Row],[Engagement Rate]]/Posts[[#This Row],[Ad_Spend]]</f>
        <v>4.3187848046444705E-4</v>
      </c>
    </row>
    <row r="249" spans="1:21" x14ac:dyDescent="0.25">
      <c r="A249" s="1" t="s">
        <v>308</v>
      </c>
      <c r="B249" s="1" t="s">
        <v>17</v>
      </c>
      <c r="C249" s="2">
        <v>45737</v>
      </c>
      <c r="D249" s="1" t="s">
        <v>51</v>
      </c>
      <c r="E249" t="s">
        <v>438</v>
      </c>
      <c r="F249">
        <v>4609</v>
      </c>
      <c r="G249">
        <v>427</v>
      </c>
      <c r="H249">
        <v>395</v>
      </c>
      <c r="I249">
        <v>33698</v>
      </c>
      <c r="J249">
        <v>29259</v>
      </c>
      <c r="K249">
        <v>216</v>
      </c>
      <c r="L249" s="1" t="s">
        <v>26</v>
      </c>
      <c r="M249" s="1" t="s">
        <v>14</v>
      </c>
      <c r="N249" s="1" t="s">
        <v>19</v>
      </c>
      <c r="O249">
        <v>995</v>
      </c>
      <c r="P249">
        <v>86</v>
      </c>
      <c r="Q249">
        <v>22788</v>
      </c>
      <c r="R249" s="33">
        <f>(Posts[[#This Row],[Likes]]+Posts[[#This Row],[Comments]]+Posts[[#This Row],[Shares]])/Posts[[#This Row],[Impressions]]*100</f>
        <v>16.116683482699269</v>
      </c>
      <c r="S249">
        <v>27</v>
      </c>
      <c r="T249">
        <f>Posts[[#This Row],[New_Followers]]-Posts[[#This Row],[Unfollows]]</f>
        <v>909</v>
      </c>
      <c r="U249" s="32">
        <f>Posts[[#This Row],[Engagement Rate]]/Posts[[#This Row],[Ad_Spend]]</f>
        <v>7.0724431642527953E-4</v>
      </c>
    </row>
    <row r="250" spans="1:21" x14ac:dyDescent="0.25">
      <c r="A250" s="1" t="s">
        <v>309</v>
      </c>
      <c r="B250" s="1" t="s">
        <v>12</v>
      </c>
      <c r="C250" s="2">
        <v>45738</v>
      </c>
      <c r="D250" s="1" t="s">
        <v>54</v>
      </c>
      <c r="E250" t="s">
        <v>435</v>
      </c>
      <c r="F250">
        <v>4308</v>
      </c>
      <c r="G250">
        <v>171</v>
      </c>
      <c r="H250">
        <v>106</v>
      </c>
      <c r="I250">
        <v>36955</v>
      </c>
      <c r="J250">
        <v>23949</v>
      </c>
      <c r="K250">
        <v>294</v>
      </c>
      <c r="L250" s="1" t="s">
        <v>26</v>
      </c>
      <c r="M250" s="1" t="s">
        <v>13</v>
      </c>
      <c r="N250" s="1" t="s">
        <v>23</v>
      </c>
      <c r="O250">
        <v>1472</v>
      </c>
      <c r="P250">
        <v>296</v>
      </c>
      <c r="Q250">
        <v>7810</v>
      </c>
      <c r="R250" s="33">
        <f>(Posts[[#This Row],[Likes]]+Posts[[#This Row],[Comments]]+Posts[[#This Row],[Shares]])/Posts[[#This Row],[Impressions]]*100</f>
        <v>12.406981463942634</v>
      </c>
      <c r="S250">
        <v>62</v>
      </c>
      <c r="T250">
        <f>Posts[[#This Row],[New_Followers]]-Posts[[#This Row],[Unfollows]]</f>
        <v>1176</v>
      </c>
      <c r="U250" s="32">
        <f>Posts[[#This Row],[Engagement Rate]]/Posts[[#This Row],[Ad_Spend]]</f>
        <v>1.588601980018263E-3</v>
      </c>
    </row>
    <row r="251" spans="1:21" x14ac:dyDescent="0.25">
      <c r="A251" s="1" t="s">
        <v>310</v>
      </c>
      <c r="B251" s="1" t="s">
        <v>17</v>
      </c>
      <c r="C251" s="2">
        <v>45748</v>
      </c>
      <c r="D251" s="1" t="s">
        <v>51</v>
      </c>
      <c r="E251" t="s">
        <v>435</v>
      </c>
      <c r="F251">
        <v>2665</v>
      </c>
      <c r="G251">
        <v>143</v>
      </c>
      <c r="H251">
        <v>315</v>
      </c>
      <c r="I251">
        <v>54808</v>
      </c>
      <c r="J251">
        <v>29818</v>
      </c>
      <c r="K251">
        <v>98</v>
      </c>
      <c r="L251" s="1" t="s">
        <v>26</v>
      </c>
      <c r="M251" s="1" t="s">
        <v>14</v>
      </c>
      <c r="N251" s="1" t="s">
        <v>19</v>
      </c>
      <c r="O251">
        <v>995</v>
      </c>
      <c r="P251">
        <v>86</v>
      </c>
      <c r="Q251">
        <v>22788</v>
      </c>
      <c r="R251" s="33">
        <f>(Posts[[#This Row],[Likes]]+Posts[[#This Row],[Comments]]+Posts[[#This Row],[Shares]])/Posts[[#This Row],[Impressions]]*100</f>
        <v>5.6980732739746021</v>
      </c>
      <c r="S251">
        <v>233</v>
      </c>
      <c r="T251">
        <f>Posts[[#This Row],[New_Followers]]-Posts[[#This Row],[Unfollows]]</f>
        <v>909</v>
      </c>
      <c r="U251" s="32">
        <f>Posts[[#This Row],[Engagement Rate]]/Posts[[#This Row],[Ad_Spend]]</f>
        <v>2.5004709820846945E-4</v>
      </c>
    </row>
    <row r="252" spans="1:21" x14ac:dyDescent="0.25">
      <c r="A252" s="1" t="s">
        <v>311</v>
      </c>
      <c r="B252" s="1" t="s">
        <v>12</v>
      </c>
      <c r="C252" s="2">
        <v>45749</v>
      </c>
      <c r="D252" s="1" t="s">
        <v>54</v>
      </c>
      <c r="E252" t="s">
        <v>437</v>
      </c>
      <c r="F252">
        <v>4598</v>
      </c>
      <c r="G252">
        <v>455</v>
      </c>
      <c r="H252">
        <v>378</v>
      </c>
      <c r="I252">
        <v>52952</v>
      </c>
      <c r="J252">
        <v>58504</v>
      </c>
      <c r="K252">
        <v>269</v>
      </c>
      <c r="L252" s="1" t="s">
        <v>26</v>
      </c>
      <c r="M252" s="1" t="s">
        <v>13</v>
      </c>
      <c r="N252" s="1" t="s">
        <v>23</v>
      </c>
      <c r="O252">
        <v>1472</v>
      </c>
      <c r="P252">
        <v>296</v>
      </c>
      <c r="Q252">
        <v>7810</v>
      </c>
      <c r="R252" s="33">
        <f>(Posts[[#This Row],[Likes]]+Posts[[#This Row],[Comments]]+Posts[[#This Row],[Shares]])/Posts[[#This Row],[Impressions]]*100</f>
        <v>10.256458679558845</v>
      </c>
      <c r="S252">
        <v>103</v>
      </c>
      <c r="T252">
        <f>Posts[[#This Row],[New_Followers]]-Posts[[#This Row],[Unfollows]]</f>
        <v>1176</v>
      </c>
      <c r="U252" s="32">
        <f>Posts[[#This Row],[Engagement Rate]]/Posts[[#This Row],[Ad_Spend]]</f>
        <v>1.3132469500075346E-3</v>
      </c>
    </row>
    <row r="253" spans="1:21" x14ac:dyDescent="0.25">
      <c r="A253" s="1" t="s">
        <v>312</v>
      </c>
      <c r="B253" s="1" t="s">
        <v>17</v>
      </c>
      <c r="C253" s="2">
        <v>45754</v>
      </c>
      <c r="D253" s="1" t="s">
        <v>54</v>
      </c>
      <c r="E253" t="s">
        <v>439</v>
      </c>
      <c r="F253">
        <v>1403</v>
      </c>
      <c r="G253">
        <v>385</v>
      </c>
      <c r="H253">
        <v>344</v>
      </c>
      <c r="I253">
        <v>54223</v>
      </c>
      <c r="J253">
        <v>72595</v>
      </c>
      <c r="K253">
        <v>239</v>
      </c>
      <c r="L253" s="1" t="s">
        <v>22</v>
      </c>
      <c r="M253" s="1" t="s">
        <v>57</v>
      </c>
      <c r="N253" s="1" t="s">
        <v>23</v>
      </c>
      <c r="O253">
        <v>995</v>
      </c>
      <c r="P253">
        <v>86</v>
      </c>
      <c r="Q253">
        <v>22788</v>
      </c>
      <c r="R253" s="33">
        <f>(Posts[[#This Row],[Likes]]+Posts[[#This Row],[Comments]]+Posts[[#This Row],[Shares]])/Posts[[#This Row],[Impressions]]*100</f>
        <v>3.9319108127547353</v>
      </c>
      <c r="S253">
        <v>279</v>
      </c>
      <c r="T253">
        <f>Posts[[#This Row],[New_Followers]]-Posts[[#This Row],[Unfollows]]</f>
        <v>909</v>
      </c>
      <c r="U253" s="32">
        <f>Posts[[#This Row],[Engagement Rate]]/Posts[[#This Row],[Ad_Spend]]</f>
        <v>1.725430407563075E-4</v>
      </c>
    </row>
    <row r="254" spans="1:21" x14ac:dyDescent="0.25">
      <c r="A254" s="1" t="s">
        <v>313</v>
      </c>
      <c r="B254" s="1" t="s">
        <v>17</v>
      </c>
      <c r="C254" s="2">
        <v>45759</v>
      </c>
      <c r="D254" s="1" t="s">
        <v>51</v>
      </c>
      <c r="E254" t="s">
        <v>439</v>
      </c>
      <c r="F254">
        <v>4315</v>
      </c>
      <c r="G254">
        <v>208</v>
      </c>
      <c r="H254">
        <v>273</v>
      </c>
      <c r="I254">
        <v>35780</v>
      </c>
      <c r="J254">
        <v>44349</v>
      </c>
      <c r="K254">
        <v>133</v>
      </c>
      <c r="L254" s="1" t="s">
        <v>26</v>
      </c>
      <c r="M254" s="1" t="s">
        <v>14</v>
      </c>
      <c r="N254" s="1" t="s">
        <v>19</v>
      </c>
      <c r="O254">
        <v>995</v>
      </c>
      <c r="P254">
        <v>86</v>
      </c>
      <c r="Q254">
        <v>22788</v>
      </c>
      <c r="R254" s="33">
        <f>(Posts[[#This Row],[Likes]]+Posts[[#This Row],[Comments]]+Posts[[#This Row],[Shares]])/Posts[[#This Row],[Impressions]]*100</f>
        <v>13.404136389044158</v>
      </c>
      <c r="S254">
        <v>52</v>
      </c>
      <c r="T254">
        <f>Posts[[#This Row],[New_Followers]]-Posts[[#This Row],[Unfollows]]</f>
        <v>909</v>
      </c>
      <c r="U254" s="32">
        <f>Posts[[#This Row],[Engagement Rate]]/Posts[[#This Row],[Ad_Spend]]</f>
        <v>5.8821030318782503E-4</v>
      </c>
    </row>
    <row r="255" spans="1:21" x14ac:dyDescent="0.25">
      <c r="A255" s="1" t="s">
        <v>314</v>
      </c>
      <c r="B255" s="1" t="s">
        <v>17</v>
      </c>
      <c r="C255" s="2">
        <v>45760</v>
      </c>
      <c r="D255" s="1" t="s">
        <v>54</v>
      </c>
      <c r="E255" t="s">
        <v>439</v>
      </c>
      <c r="F255">
        <v>3890</v>
      </c>
      <c r="G255">
        <v>408</v>
      </c>
      <c r="H255">
        <v>338</v>
      </c>
      <c r="I255">
        <v>56994</v>
      </c>
      <c r="J255">
        <v>32621</v>
      </c>
      <c r="K255">
        <v>286</v>
      </c>
      <c r="L255" s="1" t="s">
        <v>22</v>
      </c>
      <c r="M255" s="1" t="s">
        <v>57</v>
      </c>
      <c r="N255" s="1" t="s">
        <v>23</v>
      </c>
      <c r="O255">
        <v>995</v>
      </c>
      <c r="P255">
        <v>86</v>
      </c>
      <c r="Q255">
        <v>22788</v>
      </c>
      <c r="R255" s="33">
        <f>(Posts[[#This Row],[Likes]]+Posts[[#This Row],[Comments]]+Posts[[#This Row],[Shares]])/Posts[[#This Row],[Impressions]]*100</f>
        <v>8.1341895638137345</v>
      </c>
      <c r="S255">
        <v>173</v>
      </c>
      <c r="T255">
        <f>Posts[[#This Row],[New_Followers]]-Posts[[#This Row],[Unfollows]]</f>
        <v>909</v>
      </c>
      <c r="U255" s="32">
        <f>Posts[[#This Row],[Engagement Rate]]/Posts[[#This Row],[Ad_Spend]]</f>
        <v>3.5695056888773626E-4</v>
      </c>
    </row>
    <row r="256" spans="1:21" x14ac:dyDescent="0.25">
      <c r="A256" s="1" t="s">
        <v>315</v>
      </c>
      <c r="B256" s="1" t="s">
        <v>11</v>
      </c>
      <c r="C256" s="2">
        <v>45762</v>
      </c>
      <c r="D256" s="1" t="s">
        <v>54</v>
      </c>
      <c r="E256" t="s">
        <v>49</v>
      </c>
      <c r="F256">
        <v>4177</v>
      </c>
      <c r="G256">
        <v>489</v>
      </c>
      <c r="H256">
        <v>331</v>
      </c>
      <c r="I256">
        <v>57451</v>
      </c>
      <c r="J256">
        <v>73793</v>
      </c>
      <c r="K256">
        <v>251</v>
      </c>
      <c r="L256" s="1" t="s">
        <v>26</v>
      </c>
      <c r="M256" s="1" t="s">
        <v>57</v>
      </c>
      <c r="N256" s="1" t="s">
        <v>23</v>
      </c>
      <c r="O256">
        <v>1402</v>
      </c>
      <c r="P256">
        <v>68</v>
      </c>
      <c r="Q256">
        <v>23125</v>
      </c>
      <c r="R256" s="33">
        <f>(Posts[[#This Row],[Likes]]+Posts[[#This Row],[Comments]]+Posts[[#This Row],[Shares]])/Posts[[#This Row],[Impressions]]*100</f>
        <v>8.6978468608031196</v>
      </c>
      <c r="S256">
        <v>147</v>
      </c>
      <c r="T256">
        <f>Posts[[#This Row],[New_Followers]]-Posts[[#This Row],[Unfollows]]</f>
        <v>1334</v>
      </c>
      <c r="U256" s="32">
        <f>Posts[[#This Row],[Engagement Rate]]/Posts[[#This Row],[Ad_Spend]]</f>
        <v>3.7612310749418897E-4</v>
      </c>
    </row>
    <row r="257" spans="1:21" x14ac:dyDescent="0.25">
      <c r="A257" s="1" t="s">
        <v>316</v>
      </c>
      <c r="B257" s="1" t="s">
        <v>11</v>
      </c>
      <c r="C257" s="2">
        <v>45763</v>
      </c>
      <c r="D257" s="1" t="s">
        <v>54</v>
      </c>
      <c r="E257" t="s">
        <v>437</v>
      </c>
      <c r="F257">
        <v>4836</v>
      </c>
      <c r="G257">
        <v>331</v>
      </c>
      <c r="H257">
        <v>140</v>
      </c>
      <c r="I257">
        <v>58792</v>
      </c>
      <c r="J257">
        <v>47711</v>
      </c>
      <c r="K257">
        <v>227</v>
      </c>
      <c r="L257" s="1" t="s">
        <v>22</v>
      </c>
      <c r="M257" s="1" t="s">
        <v>18</v>
      </c>
      <c r="N257" s="1" t="s">
        <v>19</v>
      </c>
      <c r="O257">
        <v>1402</v>
      </c>
      <c r="P257">
        <v>68</v>
      </c>
      <c r="Q257">
        <v>23125</v>
      </c>
      <c r="R257" s="33">
        <f>(Posts[[#This Row],[Likes]]+Posts[[#This Row],[Comments]]+Posts[[#This Row],[Shares]])/Posts[[#This Row],[Impressions]]*100</f>
        <v>9.0267383317458165</v>
      </c>
      <c r="S257">
        <v>138</v>
      </c>
      <c r="T257">
        <f>Posts[[#This Row],[New_Followers]]-Posts[[#This Row],[Unfollows]]</f>
        <v>1334</v>
      </c>
      <c r="U257" s="32">
        <f>Posts[[#This Row],[Engagement Rate]]/Posts[[#This Row],[Ad_Spend]]</f>
        <v>3.9034544137279205E-4</v>
      </c>
    </row>
    <row r="258" spans="1:21" x14ac:dyDescent="0.25">
      <c r="A258" s="1" t="s">
        <v>317</v>
      </c>
      <c r="B258" s="1" t="s">
        <v>17</v>
      </c>
      <c r="C258" s="2">
        <v>45763</v>
      </c>
      <c r="D258" s="1" t="s">
        <v>54</v>
      </c>
      <c r="E258" t="s">
        <v>437</v>
      </c>
      <c r="F258">
        <v>3792</v>
      </c>
      <c r="G258">
        <v>315</v>
      </c>
      <c r="H258">
        <v>120</v>
      </c>
      <c r="I258">
        <v>54592</v>
      </c>
      <c r="J258">
        <v>67886</v>
      </c>
      <c r="K258">
        <v>117</v>
      </c>
      <c r="L258" s="1" t="s">
        <v>22</v>
      </c>
      <c r="M258" s="1" t="s">
        <v>57</v>
      </c>
      <c r="N258" s="1" t="s">
        <v>23</v>
      </c>
      <c r="O258">
        <v>995</v>
      </c>
      <c r="P258">
        <v>86</v>
      </c>
      <c r="Q258">
        <v>22788</v>
      </c>
      <c r="R258" s="33">
        <f>(Posts[[#This Row],[Likes]]+Posts[[#This Row],[Comments]]+Posts[[#This Row],[Shares]])/Posts[[#This Row],[Impressions]]*100</f>
        <v>7.7428927315357567</v>
      </c>
      <c r="S258">
        <v>184</v>
      </c>
      <c r="T258">
        <f>Posts[[#This Row],[New_Followers]]-Posts[[#This Row],[Unfollows]]</f>
        <v>909</v>
      </c>
      <c r="U258" s="32">
        <f>Posts[[#This Row],[Engagement Rate]]/Posts[[#This Row],[Ad_Spend]]</f>
        <v>3.3977938965840603E-4</v>
      </c>
    </row>
    <row r="259" spans="1:21" x14ac:dyDescent="0.25">
      <c r="A259" s="1" t="s">
        <v>318</v>
      </c>
      <c r="B259" s="1" t="s">
        <v>12</v>
      </c>
      <c r="C259" s="2">
        <v>45765</v>
      </c>
      <c r="D259" s="1" t="s">
        <v>48</v>
      </c>
      <c r="E259" t="s">
        <v>74</v>
      </c>
      <c r="F259">
        <v>1265</v>
      </c>
      <c r="G259">
        <v>230</v>
      </c>
      <c r="H259">
        <v>364</v>
      </c>
      <c r="I259">
        <v>41312</v>
      </c>
      <c r="J259">
        <v>50382</v>
      </c>
      <c r="K259">
        <v>106</v>
      </c>
      <c r="L259" s="1" t="s">
        <v>26</v>
      </c>
      <c r="M259" s="1" t="s">
        <v>22</v>
      </c>
      <c r="N259" s="1" t="s">
        <v>9</v>
      </c>
      <c r="O259">
        <v>1472</v>
      </c>
      <c r="P259">
        <v>296</v>
      </c>
      <c r="Q259">
        <v>7810</v>
      </c>
      <c r="R259" s="33">
        <f>(Posts[[#This Row],[Likes]]+Posts[[#This Row],[Comments]]+Posts[[#This Row],[Shares]])/Posts[[#This Row],[Impressions]]*100</f>
        <v>4.4999031758326877</v>
      </c>
      <c r="S259">
        <v>266</v>
      </c>
      <c r="T259">
        <f>Posts[[#This Row],[New_Followers]]-Posts[[#This Row],[Unfollows]]</f>
        <v>1176</v>
      </c>
      <c r="U259" s="32">
        <f>Posts[[#This Row],[Engagement Rate]]/Posts[[#This Row],[Ad_Spend]]</f>
        <v>5.7617198154067707E-4</v>
      </c>
    </row>
    <row r="260" spans="1:21" x14ac:dyDescent="0.25">
      <c r="A260" s="1" t="s">
        <v>319</v>
      </c>
      <c r="B260" s="1" t="s">
        <v>12</v>
      </c>
      <c r="C260" s="2">
        <v>45769</v>
      </c>
      <c r="D260" s="1" t="s">
        <v>48</v>
      </c>
      <c r="E260" t="s">
        <v>69</v>
      </c>
      <c r="F260">
        <v>2733</v>
      </c>
      <c r="G260">
        <v>297</v>
      </c>
      <c r="H260">
        <v>235</v>
      </c>
      <c r="I260">
        <v>37980</v>
      </c>
      <c r="J260">
        <v>33058</v>
      </c>
      <c r="K260">
        <v>219</v>
      </c>
      <c r="L260" s="1" t="s">
        <v>26</v>
      </c>
      <c r="M260" s="1" t="s">
        <v>22</v>
      </c>
      <c r="N260" s="1" t="s">
        <v>9</v>
      </c>
      <c r="O260">
        <v>1472</v>
      </c>
      <c r="P260">
        <v>296</v>
      </c>
      <c r="Q260">
        <v>7810</v>
      </c>
      <c r="R260" s="33">
        <f>(Posts[[#This Row],[Likes]]+Posts[[#This Row],[Comments]]+Posts[[#This Row],[Shares]])/Posts[[#This Row],[Impressions]]*100</f>
        <v>8.5966298051606103</v>
      </c>
      <c r="S260">
        <v>152</v>
      </c>
      <c r="T260">
        <f>Posts[[#This Row],[New_Followers]]-Posts[[#This Row],[Unfollows]]</f>
        <v>1176</v>
      </c>
      <c r="U260" s="32">
        <f>Posts[[#This Row],[Engagement Rate]]/Posts[[#This Row],[Ad_Spend]]</f>
        <v>1.100720845731192E-3</v>
      </c>
    </row>
    <row r="261" spans="1:21" x14ac:dyDescent="0.25">
      <c r="A261" s="36" t="s">
        <v>320</v>
      </c>
      <c r="B261" s="36" t="s">
        <v>17</v>
      </c>
      <c r="C261" s="40">
        <v>45769</v>
      </c>
      <c r="D261" s="36" t="s">
        <v>54</v>
      </c>
      <c r="E261" s="36" t="s">
        <v>438</v>
      </c>
      <c r="F261" s="36">
        <v>4401</v>
      </c>
      <c r="G261" s="36">
        <v>421</v>
      </c>
      <c r="H261" s="36">
        <v>216</v>
      </c>
      <c r="I261" s="36">
        <v>24890</v>
      </c>
      <c r="J261" s="36">
        <v>54361</v>
      </c>
      <c r="K261" s="36">
        <v>148</v>
      </c>
      <c r="L261" s="36" t="s">
        <v>18</v>
      </c>
      <c r="M261" s="36" t="s">
        <v>57</v>
      </c>
      <c r="N261" s="36" t="s">
        <v>19</v>
      </c>
      <c r="O261" s="36">
        <v>995</v>
      </c>
      <c r="P261" s="36">
        <v>86</v>
      </c>
      <c r="Q261" s="36">
        <v>22788</v>
      </c>
      <c r="R261" s="33">
        <f>(Posts[[#This Row],[Likes]]+Posts[[#This Row],[Comments]]+Posts[[#This Row],[Shares]])/Posts[[#This Row],[Impressions]]*100</f>
        <v>20.241060666934512</v>
      </c>
      <c r="S261">
        <v>5</v>
      </c>
      <c r="T261" s="36">
        <f>Posts[[#This Row],[New_Followers]]-Posts[[#This Row],[Unfollows]]</f>
        <v>909</v>
      </c>
      <c r="U261" s="36">
        <f>Posts[[#This Row],[Engagement Rate]]/Posts[[#This Row],[Ad_Spend]]</f>
        <v>8.8823330994095625E-4</v>
      </c>
    </row>
    <row r="262" spans="1:21" x14ac:dyDescent="0.25">
      <c r="A262" s="1" t="s">
        <v>321</v>
      </c>
      <c r="B262" s="1" t="s">
        <v>17</v>
      </c>
      <c r="C262" s="2">
        <v>45773</v>
      </c>
      <c r="D262" s="1" t="s">
        <v>54</v>
      </c>
      <c r="E262" t="s">
        <v>69</v>
      </c>
      <c r="F262">
        <v>2411</v>
      </c>
      <c r="G262">
        <v>194</v>
      </c>
      <c r="H262">
        <v>168</v>
      </c>
      <c r="I262">
        <v>26665</v>
      </c>
      <c r="J262">
        <v>71699</v>
      </c>
      <c r="K262">
        <v>197</v>
      </c>
      <c r="L262" s="1" t="s">
        <v>18</v>
      </c>
      <c r="M262" s="1" t="s">
        <v>57</v>
      </c>
      <c r="N262" s="1" t="s">
        <v>19</v>
      </c>
      <c r="O262">
        <v>995</v>
      </c>
      <c r="P262">
        <v>86</v>
      </c>
      <c r="Q262">
        <v>22788</v>
      </c>
      <c r="R262" s="33">
        <f>(Posts[[#This Row],[Likes]]+Posts[[#This Row],[Comments]]+Posts[[#This Row],[Shares]])/Posts[[#This Row],[Impressions]]*100</f>
        <v>10.399399962497656</v>
      </c>
      <c r="S262">
        <v>101</v>
      </c>
      <c r="T262">
        <f>Posts[[#This Row],[New_Followers]]-Posts[[#This Row],[Unfollows]]</f>
        <v>909</v>
      </c>
      <c r="U262" s="32">
        <f>Posts[[#This Row],[Engagement Rate]]/Posts[[#This Row],[Ad_Spend]]</f>
        <v>4.5635421987439247E-4</v>
      </c>
    </row>
    <row r="263" spans="1:21" x14ac:dyDescent="0.25">
      <c r="A263" s="1" t="s">
        <v>322</v>
      </c>
      <c r="B263" s="1" t="s">
        <v>17</v>
      </c>
      <c r="C263" s="2">
        <v>45774</v>
      </c>
      <c r="D263" s="1" t="s">
        <v>54</v>
      </c>
      <c r="E263" t="s">
        <v>49</v>
      </c>
      <c r="F263">
        <v>1165</v>
      </c>
      <c r="G263">
        <v>294</v>
      </c>
      <c r="H263">
        <v>163</v>
      </c>
      <c r="I263">
        <v>20659</v>
      </c>
      <c r="J263">
        <v>45926</v>
      </c>
      <c r="K263">
        <v>111</v>
      </c>
      <c r="L263" s="1" t="s">
        <v>22</v>
      </c>
      <c r="M263" s="1" t="s">
        <v>57</v>
      </c>
      <c r="N263" s="1" t="s">
        <v>23</v>
      </c>
      <c r="O263">
        <v>995</v>
      </c>
      <c r="P263">
        <v>86</v>
      </c>
      <c r="Q263">
        <v>22788</v>
      </c>
      <c r="R263" s="33">
        <f>(Posts[[#This Row],[Likes]]+Posts[[#This Row],[Comments]]+Posts[[#This Row],[Shares]])/Posts[[#This Row],[Impressions]]*100</f>
        <v>7.8512996756861426</v>
      </c>
      <c r="S263">
        <v>182</v>
      </c>
      <c r="T263">
        <f>Posts[[#This Row],[New_Followers]]-Posts[[#This Row],[Unfollows]]</f>
        <v>909</v>
      </c>
      <c r="U263" s="32">
        <f>Posts[[#This Row],[Engagement Rate]]/Posts[[#This Row],[Ad_Spend]]</f>
        <v>3.445365839778016E-4</v>
      </c>
    </row>
    <row r="264" spans="1:21" x14ac:dyDescent="0.25">
      <c r="A264" s="1" t="s">
        <v>323</v>
      </c>
      <c r="B264" s="1" t="s">
        <v>17</v>
      </c>
      <c r="C264" s="2">
        <v>45777</v>
      </c>
      <c r="D264" s="1" t="s">
        <v>51</v>
      </c>
      <c r="E264" t="s">
        <v>437</v>
      </c>
      <c r="F264">
        <v>3929</v>
      </c>
      <c r="G264">
        <v>275</v>
      </c>
      <c r="H264">
        <v>330</v>
      </c>
      <c r="I264">
        <v>58329</v>
      </c>
      <c r="J264">
        <v>33196</v>
      </c>
      <c r="K264">
        <v>85</v>
      </c>
      <c r="L264" s="1" t="s">
        <v>14</v>
      </c>
      <c r="M264" s="1" t="s">
        <v>18</v>
      </c>
      <c r="N264" s="1" t="s">
        <v>19</v>
      </c>
      <c r="O264">
        <v>995</v>
      </c>
      <c r="P264">
        <v>86</v>
      </c>
      <c r="Q264">
        <v>22788</v>
      </c>
      <c r="R264" s="33">
        <f>(Posts[[#This Row],[Likes]]+Posts[[#This Row],[Comments]]+Posts[[#This Row],[Shares]])/Posts[[#This Row],[Impressions]]*100</f>
        <v>7.773148862486928</v>
      </c>
      <c r="S264">
        <v>183</v>
      </c>
      <c r="T264">
        <f>Posts[[#This Row],[New_Followers]]-Posts[[#This Row],[Unfollows]]</f>
        <v>909</v>
      </c>
      <c r="U264" s="32">
        <f>Posts[[#This Row],[Engagement Rate]]/Posts[[#This Row],[Ad_Spend]]</f>
        <v>3.4110711174683726E-4</v>
      </c>
    </row>
    <row r="265" spans="1:21" x14ac:dyDescent="0.25">
      <c r="A265" s="1" t="s">
        <v>324</v>
      </c>
      <c r="B265" s="1" t="s">
        <v>11</v>
      </c>
      <c r="C265" s="2">
        <v>45777</v>
      </c>
      <c r="D265" s="1" t="s">
        <v>51</v>
      </c>
      <c r="E265" t="s">
        <v>438</v>
      </c>
      <c r="F265">
        <v>3916</v>
      </c>
      <c r="G265">
        <v>459</v>
      </c>
      <c r="H265">
        <v>229</v>
      </c>
      <c r="I265">
        <v>48989</v>
      </c>
      <c r="J265">
        <v>39768</v>
      </c>
      <c r="K265">
        <v>200</v>
      </c>
      <c r="L265" s="1" t="s">
        <v>18</v>
      </c>
      <c r="M265" s="1" t="s">
        <v>57</v>
      </c>
      <c r="N265" s="1" t="s">
        <v>15</v>
      </c>
      <c r="O265">
        <v>1402</v>
      </c>
      <c r="P265">
        <v>68</v>
      </c>
      <c r="Q265">
        <v>23125</v>
      </c>
      <c r="R265" s="33">
        <f>(Posts[[#This Row],[Likes]]+Posts[[#This Row],[Comments]]+Posts[[#This Row],[Shares]])/Posts[[#This Row],[Impressions]]*100</f>
        <v>9.3980281287635989</v>
      </c>
      <c r="S265">
        <v>126</v>
      </c>
      <c r="T265">
        <f>Posts[[#This Row],[New_Followers]]-Posts[[#This Row],[Unfollows]]</f>
        <v>1334</v>
      </c>
      <c r="U265" s="32">
        <f>Posts[[#This Row],[Engagement Rate]]/Posts[[#This Row],[Ad_Spend]]</f>
        <v>4.0640121637896642E-4</v>
      </c>
    </row>
    <row r="266" spans="1:21" x14ac:dyDescent="0.25">
      <c r="A266" s="1" t="s">
        <v>325</v>
      </c>
      <c r="B266" s="1" t="s">
        <v>17</v>
      </c>
      <c r="C266" s="2">
        <v>45780</v>
      </c>
      <c r="D266" s="1" t="s">
        <v>51</v>
      </c>
      <c r="E266" t="s">
        <v>55</v>
      </c>
      <c r="F266">
        <v>1010</v>
      </c>
      <c r="G266">
        <v>361</v>
      </c>
      <c r="H266">
        <v>240</v>
      </c>
      <c r="I266">
        <v>47229</v>
      </c>
      <c r="J266">
        <v>72573</v>
      </c>
      <c r="K266">
        <v>275</v>
      </c>
      <c r="L266" s="1" t="s">
        <v>22</v>
      </c>
      <c r="M266" s="1" t="s">
        <v>18</v>
      </c>
      <c r="N266" s="1" t="s">
        <v>19</v>
      </c>
      <c r="O266">
        <v>995</v>
      </c>
      <c r="P266">
        <v>86</v>
      </c>
      <c r="Q266">
        <v>22788</v>
      </c>
      <c r="R266" s="33">
        <f>(Posts[[#This Row],[Likes]]+Posts[[#This Row],[Comments]]+Posts[[#This Row],[Shares]])/Posts[[#This Row],[Impressions]]*100</f>
        <v>3.4110398272247981</v>
      </c>
      <c r="S266">
        <v>291</v>
      </c>
      <c r="T266">
        <f>Posts[[#This Row],[New_Followers]]-Posts[[#This Row],[Unfollows]]</f>
        <v>909</v>
      </c>
      <c r="U266" s="32">
        <f>Posts[[#This Row],[Engagement Rate]]/Posts[[#This Row],[Ad_Spend]]</f>
        <v>1.4968579196176926E-4</v>
      </c>
    </row>
    <row r="267" spans="1:21" x14ac:dyDescent="0.25">
      <c r="A267" s="1" t="s">
        <v>326</v>
      </c>
      <c r="B267" s="1" t="s">
        <v>11</v>
      </c>
      <c r="C267" s="2">
        <v>45781</v>
      </c>
      <c r="D267" s="1" t="s">
        <v>54</v>
      </c>
      <c r="E267" t="s">
        <v>438</v>
      </c>
      <c r="F267">
        <v>2414</v>
      </c>
      <c r="G267">
        <v>245</v>
      </c>
      <c r="H267">
        <v>137</v>
      </c>
      <c r="I267">
        <v>21181</v>
      </c>
      <c r="J267">
        <v>45292</v>
      </c>
      <c r="K267">
        <v>133</v>
      </c>
      <c r="L267" s="1" t="s">
        <v>22</v>
      </c>
      <c r="M267" s="1" t="s">
        <v>18</v>
      </c>
      <c r="N267" s="1" t="s">
        <v>19</v>
      </c>
      <c r="O267">
        <v>1402</v>
      </c>
      <c r="P267">
        <v>68</v>
      </c>
      <c r="Q267">
        <v>23125</v>
      </c>
      <c r="R267" s="33">
        <f>(Posts[[#This Row],[Likes]]+Posts[[#This Row],[Comments]]+Posts[[#This Row],[Shares]])/Posts[[#This Row],[Impressions]]*100</f>
        <v>13.200509890939994</v>
      </c>
      <c r="S267">
        <v>53</v>
      </c>
      <c r="T267">
        <f>Posts[[#This Row],[New_Followers]]-Posts[[#This Row],[Unfollows]]</f>
        <v>1334</v>
      </c>
      <c r="U267" s="32">
        <f>Posts[[#This Row],[Engagement Rate]]/Posts[[#This Row],[Ad_Spend]]</f>
        <v>5.7083286014875654E-4</v>
      </c>
    </row>
    <row r="268" spans="1:21" x14ac:dyDescent="0.25">
      <c r="A268" s="1" t="s">
        <v>327</v>
      </c>
      <c r="B268" s="1" t="s">
        <v>11</v>
      </c>
      <c r="C268" s="2">
        <v>45781</v>
      </c>
      <c r="D268" s="1" t="s">
        <v>51</v>
      </c>
      <c r="E268" t="s">
        <v>69</v>
      </c>
      <c r="F268">
        <v>1311</v>
      </c>
      <c r="G268">
        <v>181</v>
      </c>
      <c r="H268">
        <v>361</v>
      </c>
      <c r="I268">
        <v>37148</v>
      </c>
      <c r="J268">
        <v>44875</v>
      </c>
      <c r="K268">
        <v>245</v>
      </c>
      <c r="L268" s="1" t="s">
        <v>18</v>
      </c>
      <c r="M268" s="1" t="s">
        <v>57</v>
      </c>
      <c r="N268" s="1" t="s">
        <v>15</v>
      </c>
      <c r="O268">
        <v>1402</v>
      </c>
      <c r="P268">
        <v>68</v>
      </c>
      <c r="Q268">
        <v>23125</v>
      </c>
      <c r="R268" s="33">
        <f>(Posts[[#This Row],[Likes]]+Posts[[#This Row],[Comments]]+Posts[[#This Row],[Shares]])/Posts[[#This Row],[Impressions]]*100</f>
        <v>4.9881554861634543</v>
      </c>
      <c r="S268">
        <v>256</v>
      </c>
      <c r="T268">
        <f>Posts[[#This Row],[New_Followers]]-Posts[[#This Row],[Unfollows]]</f>
        <v>1334</v>
      </c>
      <c r="U268" s="32">
        <f>Posts[[#This Row],[Engagement Rate]]/Posts[[#This Row],[Ad_Spend]]</f>
        <v>2.1570402102328451E-4</v>
      </c>
    </row>
    <row r="269" spans="1:21" x14ac:dyDescent="0.25">
      <c r="A269" s="1" t="s">
        <v>328</v>
      </c>
      <c r="B269" s="1" t="s">
        <v>12</v>
      </c>
      <c r="C269" s="2">
        <v>45783</v>
      </c>
      <c r="D269" s="1" t="s">
        <v>48</v>
      </c>
      <c r="E269" t="s">
        <v>69</v>
      </c>
      <c r="F269">
        <v>1085</v>
      </c>
      <c r="G269">
        <v>496</v>
      </c>
      <c r="H269">
        <v>320</v>
      </c>
      <c r="I269">
        <v>36528</v>
      </c>
      <c r="J269">
        <v>38599</v>
      </c>
      <c r="K269">
        <v>270</v>
      </c>
      <c r="L269" s="1" t="s">
        <v>26</v>
      </c>
      <c r="M269" s="1" t="s">
        <v>22</v>
      </c>
      <c r="N269" s="1" t="s">
        <v>9</v>
      </c>
      <c r="O269">
        <v>1472</v>
      </c>
      <c r="P269">
        <v>296</v>
      </c>
      <c r="Q269">
        <v>7810</v>
      </c>
      <c r="R269" s="33">
        <f>(Posts[[#This Row],[Likes]]+Posts[[#This Row],[Comments]]+Posts[[#This Row],[Shares]])/Posts[[#This Row],[Impressions]]*100</f>
        <v>5.2042268944371441</v>
      </c>
      <c r="S269">
        <v>247</v>
      </c>
      <c r="T269">
        <f>Posts[[#This Row],[New_Followers]]-Posts[[#This Row],[Unfollows]]</f>
        <v>1176</v>
      </c>
      <c r="U269" s="32">
        <f>Posts[[#This Row],[Engagement Rate]]/Posts[[#This Row],[Ad_Spend]]</f>
        <v>6.6635427585622845E-4</v>
      </c>
    </row>
    <row r="270" spans="1:21" x14ac:dyDescent="0.25">
      <c r="A270" s="1" t="s">
        <v>329</v>
      </c>
      <c r="B270" s="1" t="s">
        <v>17</v>
      </c>
      <c r="C270" s="2">
        <v>45785</v>
      </c>
      <c r="D270" s="1" t="s">
        <v>51</v>
      </c>
      <c r="E270" t="s">
        <v>74</v>
      </c>
      <c r="F270">
        <v>3316</v>
      </c>
      <c r="G270">
        <v>332</v>
      </c>
      <c r="H270">
        <v>268</v>
      </c>
      <c r="I270">
        <v>40095</v>
      </c>
      <c r="J270">
        <v>36913</v>
      </c>
      <c r="K270">
        <v>265</v>
      </c>
      <c r="L270" s="1" t="s">
        <v>14</v>
      </c>
      <c r="M270" s="1" t="s">
        <v>18</v>
      </c>
      <c r="N270" s="1" t="s">
        <v>19</v>
      </c>
      <c r="O270">
        <v>995</v>
      </c>
      <c r="P270">
        <v>86</v>
      </c>
      <c r="Q270">
        <v>22788</v>
      </c>
      <c r="R270" s="33">
        <f>(Posts[[#This Row],[Likes]]+Posts[[#This Row],[Comments]]+Posts[[#This Row],[Shares]])/Posts[[#This Row],[Impressions]]*100</f>
        <v>9.7668038408779143</v>
      </c>
      <c r="S270">
        <v>116</v>
      </c>
      <c r="T270">
        <f>Posts[[#This Row],[New_Followers]]-Posts[[#This Row],[Unfollows]]</f>
        <v>909</v>
      </c>
      <c r="U270" s="32">
        <f>Posts[[#This Row],[Engagement Rate]]/Posts[[#This Row],[Ad_Spend]]</f>
        <v>4.2859416538870959E-4</v>
      </c>
    </row>
    <row r="271" spans="1:21" x14ac:dyDescent="0.25">
      <c r="A271" s="1" t="s">
        <v>330</v>
      </c>
      <c r="B271" s="1" t="s">
        <v>17</v>
      </c>
      <c r="C271" s="2">
        <v>45786</v>
      </c>
      <c r="D271" s="1" t="s">
        <v>51</v>
      </c>
      <c r="E271" t="s">
        <v>435</v>
      </c>
      <c r="F271">
        <v>2778</v>
      </c>
      <c r="G271">
        <v>241</v>
      </c>
      <c r="H271">
        <v>317</v>
      </c>
      <c r="I271">
        <v>26247</v>
      </c>
      <c r="J271">
        <v>20677</v>
      </c>
      <c r="K271">
        <v>282</v>
      </c>
      <c r="L271" s="1" t="s">
        <v>14</v>
      </c>
      <c r="M271" s="1" t="s">
        <v>18</v>
      </c>
      <c r="N271" s="1" t="s">
        <v>19</v>
      </c>
      <c r="O271">
        <v>995</v>
      </c>
      <c r="P271">
        <v>86</v>
      </c>
      <c r="Q271">
        <v>22788</v>
      </c>
      <c r="R271" s="33">
        <f>(Posts[[#This Row],[Likes]]+Posts[[#This Row],[Comments]]+Posts[[#This Row],[Shares]])/Posts[[#This Row],[Impressions]]*100</f>
        <v>12.71002400274317</v>
      </c>
      <c r="S271">
        <v>59</v>
      </c>
      <c r="T271">
        <f>Posts[[#This Row],[New_Followers]]-Posts[[#This Row],[Unfollows]]</f>
        <v>909</v>
      </c>
      <c r="U271" s="32">
        <f>Posts[[#This Row],[Engagement Rate]]/Posts[[#This Row],[Ad_Spend]]</f>
        <v>5.5775074612704804E-4</v>
      </c>
    </row>
    <row r="272" spans="1:21" x14ac:dyDescent="0.25">
      <c r="A272" s="1" t="s">
        <v>331</v>
      </c>
      <c r="B272" s="1" t="s">
        <v>17</v>
      </c>
      <c r="C272" s="2">
        <v>45791</v>
      </c>
      <c r="D272" s="1" t="s">
        <v>51</v>
      </c>
      <c r="E272" t="s">
        <v>69</v>
      </c>
      <c r="F272">
        <v>1371</v>
      </c>
      <c r="G272">
        <v>139</v>
      </c>
      <c r="H272">
        <v>96</v>
      </c>
      <c r="I272">
        <v>36140</v>
      </c>
      <c r="J272">
        <v>39395</v>
      </c>
      <c r="K272">
        <v>169</v>
      </c>
      <c r="L272" s="1" t="s">
        <v>22</v>
      </c>
      <c r="M272" s="1" t="s">
        <v>18</v>
      </c>
      <c r="N272" s="1" t="s">
        <v>19</v>
      </c>
      <c r="O272">
        <v>995</v>
      </c>
      <c r="P272">
        <v>86</v>
      </c>
      <c r="Q272">
        <v>22788</v>
      </c>
      <c r="R272" s="33">
        <f>(Posts[[#This Row],[Likes]]+Posts[[#This Row],[Comments]]+Posts[[#This Row],[Shares]])/Posts[[#This Row],[Impressions]]*100</f>
        <v>4.4438295517432209</v>
      </c>
      <c r="S272">
        <v>267</v>
      </c>
      <c r="T272">
        <f>Posts[[#This Row],[New_Followers]]-Posts[[#This Row],[Unfollows]]</f>
        <v>909</v>
      </c>
      <c r="U272" s="32">
        <f>Posts[[#This Row],[Engagement Rate]]/Posts[[#This Row],[Ad_Spend]]</f>
        <v>1.950074403959637E-4</v>
      </c>
    </row>
    <row r="273" spans="1:21" x14ac:dyDescent="0.25">
      <c r="A273" s="1" t="s">
        <v>332</v>
      </c>
      <c r="B273" s="1" t="s">
        <v>12</v>
      </c>
      <c r="C273" s="2">
        <v>45791</v>
      </c>
      <c r="D273" s="1" t="s">
        <v>54</v>
      </c>
      <c r="E273" t="s">
        <v>437</v>
      </c>
      <c r="F273">
        <v>1701</v>
      </c>
      <c r="G273">
        <v>272</v>
      </c>
      <c r="H273">
        <v>385</v>
      </c>
      <c r="I273">
        <v>47496</v>
      </c>
      <c r="J273">
        <v>40832</v>
      </c>
      <c r="K273">
        <v>246</v>
      </c>
      <c r="L273" s="1" t="s">
        <v>26</v>
      </c>
      <c r="M273" s="1" t="s">
        <v>13</v>
      </c>
      <c r="N273" s="1" t="s">
        <v>23</v>
      </c>
      <c r="O273">
        <v>1472</v>
      </c>
      <c r="P273">
        <v>296</v>
      </c>
      <c r="Q273">
        <v>7810</v>
      </c>
      <c r="R273" s="33">
        <f>(Posts[[#This Row],[Likes]]+Posts[[#This Row],[Comments]]+Posts[[#This Row],[Shares]])/Posts[[#This Row],[Impressions]]*100</f>
        <v>4.9646286003031834</v>
      </c>
      <c r="S273">
        <v>257</v>
      </c>
      <c r="T273">
        <f>Posts[[#This Row],[New_Followers]]-Posts[[#This Row],[Unfollows]]</f>
        <v>1176</v>
      </c>
      <c r="U273" s="32">
        <f>Posts[[#This Row],[Engagement Rate]]/Posts[[#This Row],[Ad_Spend]]</f>
        <v>6.356758771194857E-4</v>
      </c>
    </row>
    <row r="274" spans="1:21" x14ac:dyDescent="0.25">
      <c r="A274" s="1" t="s">
        <v>333</v>
      </c>
      <c r="B274" s="1" t="s">
        <v>17</v>
      </c>
      <c r="C274" s="2">
        <v>45791</v>
      </c>
      <c r="D274" s="1" t="s">
        <v>51</v>
      </c>
      <c r="E274" t="s">
        <v>439</v>
      </c>
      <c r="F274">
        <v>2707</v>
      </c>
      <c r="G274">
        <v>103</v>
      </c>
      <c r="H274">
        <v>51</v>
      </c>
      <c r="I274">
        <v>55302</v>
      </c>
      <c r="J274">
        <v>18801</v>
      </c>
      <c r="K274">
        <v>147</v>
      </c>
      <c r="L274" s="1" t="s">
        <v>26</v>
      </c>
      <c r="M274" s="1" t="s">
        <v>14</v>
      </c>
      <c r="N274" s="1" t="s">
        <v>19</v>
      </c>
      <c r="O274">
        <v>995</v>
      </c>
      <c r="P274">
        <v>86</v>
      </c>
      <c r="Q274">
        <v>22788</v>
      </c>
      <c r="R274" s="33">
        <f>(Posts[[#This Row],[Likes]]+Posts[[#This Row],[Comments]]+Posts[[#This Row],[Shares]])/Posts[[#This Row],[Impressions]]*100</f>
        <v>5.1734114498571477</v>
      </c>
      <c r="S274">
        <v>251</v>
      </c>
      <c r="T274">
        <f>Posts[[#This Row],[New_Followers]]-Posts[[#This Row],[Unfollows]]</f>
        <v>909</v>
      </c>
      <c r="U274" s="32">
        <f>Posts[[#This Row],[Engagement Rate]]/Posts[[#This Row],[Ad_Spend]]</f>
        <v>2.2702349700970458E-4</v>
      </c>
    </row>
    <row r="275" spans="1:21" x14ac:dyDescent="0.25">
      <c r="A275" s="36" t="s">
        <v>334</v>
      </c>
      <c r="B275" s="36" t="s">
        <v>17</v>
      </c>
      <c r="C275" s="40">
        <v>45792</v>
      </c>
      <c r="D275" s="36" t="s">
        <v>54</v>
      </c>
      <c r="E275" s="36" t="s">
        <v>74</v>
      </c>
      <c r="F275" s="36">
        <v>4782</v>
      </c>
      <c r="G275" s="36">
        <v>210</v>
      </c>
      <c r="H275" s="36">
        <v>311</v>
      </c>
      <c r="I275" s="36">
        <v>29793</v>
      </c>
      <c r="J275" s="36">
        <v>37543</v>
      </c>
      <c r="K275" s="36">
        <v>145</v>
      </c>
      <c r="L275" s="36" t="s">
        <v>18</v>
      </c>
      <c r="M275" s="36" t="s">
        <v>57</v>
      </c>
      <c r="N275" s="36" t="s">
        <v>19</v>
      </c>
      <c r="O275" s="36">
        <v>995</v>
      </c>
      <c r="P275" s="36">
        <v>86</v>
      </c>
      <c r="Q275" s="36">
        <v>22788</v>
      </c>
      <c r="R275" s="34">
        <f>(Posts[[#This Row],[Likes]]+Posts[[#This Row],[Comments]]+Posts[[#This Row],[Shares]])/Posts[[#This Row],[Impressions]]*100</f>
        <v>17.79948310005706</v>
      </c>
      <c r="S275">
        <v>13</v>
      </c>
      <c r="T275" s="36">
        <f>Posts[[#This Row],[New_Followers]]-Posts[[#This Row],[Unfollows]]</f>
        <v>909</v>
      </c>
      <c r="U275" s="36">
        <f>Posts[[#This Row],[Engagement Rate]]/Posts[[#This Row],[Ad_Spend]]</f>
        <v>7.8109018343237933E-4</v>
      </c>
    </row>
    <row r="276" spans="1:21" x14ac:dyDescent="0.25">
      <c r="A276" s="1" t="s">
        <v>335</v>
      </c>
      <c r="B276" s="1" t="s">
        <v>17</v>
      </c>
      <c r="C276" s="2">
        <v>45792</v>
      </c>
      <c r="D276" s="1" t="s">
        <v>54</v>
      </c>
      <c r="E276" t="s">
        <v>438</v>
      </c>
      <c r="F276">
        <v>1583</v>
      </c>
      <c r="G276">
        <v>433</v>
      </c>
      <c r="H276">
        <v>249</v>
      </c>
      <c r="I276">
        <v>30256</v>
      </c>
      <c r="J276">
        <v>47066</v>
      </c>
      <c r="K276">
        <v>196</v>
      </c>
      <c r="L276" s="1" t="s">
        <v>18</v>
      </c>
      <c r="M276" s="1" t="s">
        <v>57</v>
      </c>
      <c r="N276" s="1" t="s">
        <v>19</v>
      </c>
      <c r="O276">
        <v>995</v>
      </c>
      <c r="P276">
        <v>86</v>
      </c>
      <c r="Q276">
        <v>22788</v>
      </c>
      <c r="R276" s="33">
        <f>(Posts[[#This Row],[Likes]]+Posts[[#This Row],[Comments]]+Posts[[#This Row],[Shares]])/Posts[[#This Row],[Impressions]]*100</f>
        <v>7.4861184558434681</v>
      </c>
      <c r="S276">
        <v>189</v>
      </c>
      <c r="T276">
        <f>Posts[[#This Row],[New_Followers]]-Posts[[#This Row],[Unfollows]]</f>
        <v>909</v>
      </c>
      <c r="U276" s="32">
        <f>Posts[[#This Row],[Engagement Rate]]/Posts[[#This Row],[Ad_Spend]]</f>
        <v>3.2851142951744198E-4</v>
      </c>
    </row>
    <row r="277" spans="1:21" x14ac:dyDescent="0.25">
      <c r="A277" s="1" t="s">
        <v>336</v>
      </c>
      <c r="B277" s="1" t="s">
        <v>12</v>
      </c>
      <c r="C277" s="2">
        <v>45795</v>
      </c>
      <c r="D277" s="1" t="s">
        <v>48</v>
      </c>
      <c r="E277" t="s">
        <v>437</v>
      </c>
      <c r="F277">
        <v>4210</v>
      </c>
      <c r="G277">
        <v>319</v>
      </c>
      <c r="H277">
        <v>350</v>
      </c>
      <c r="I277">
        <v>37762</v>
      </c>
      <c r="J277">
        <v>55162</v>
      </c>
      <c r="K277">
        <v>204</v>
      </c>
      <c r="L277" s="1" t="s">
        <v>26</v>
      </c>
      <c r="M277" s="1" t="s">
        <v>22</v>
      </c>
      <c r="N277" s="1" t="s">
        <v>9</v>
      </c>
      <c r="O277">
        <v>1472</v>
      </c>
      <c r="P277">
        <v>296</v>
      </c>
      <c r="Q277">
        <v>7810</v>
      </c>
      <c r="R277" s="33">
        <f>(Posts[[#This Row],[Likes]]+Posts[[#This Row],[Comments]]+Posts[[#This Row],[Shares]])/Posts[[#This Row],[Impressions]]*100</f>
        <v>12.920396165457337</v>
      </c>
      <c r="S277">
        <v>58</v>
      </c>
      <c r="T277">
        <f>Posts[[#This Row],[New_Followers]]-Posts[[#This Row],[Unfollows]]</f>
        <v>1176</v>
      </c>
      <c r="U277" s="32">
        <f>Posts[[#This Row],[Engagement Rate]]/Posts[[#This Row],[Ad_Spend]]</f>
        <v>1.6543400980099023E-3</v>
      </c>
    </row>
    <row r="278" spans="1:21" x14ac:dyDescent="0.25">
      <c r="A278" s="1" t="s">
        <v>337</v>
      </c>
      <c r="B278" s="1" t="s">
        <v>11</v>
      </c>
      <c r="C278" s="2">
        <v>45799</v>
      </c>
      <c r="D278" s="1" t="s">
        <v>54</v>
      </c>
      <c r="E278" t="s">
        <v>69</v>
      </c>
      <c r="F278">
        <v>2633</v>
      </c>
      <c r="G278">
        <v>318</v>
      </c>
      <c r="H278">
        <v>380</v>
      </c>
      <c r="I278">
        <v>40869</v>
      </c>
      <c r="J278">
        <v>64474</v>
      </c>
      <c r="K278">
        <v>245</v>
      </c>
      <c r="L278" s="1" t="s">
        <v>26</v>
      </c>
      <c r="M278" s="1" t="s">
        <v>57</v>
      </c>
      <c r="N278" s="1" t="s">
        <v>23</v>
      </c>
      <c r="O278">
        <v>1402</v>
      </c>
      <c r="P278">
        <v>68</v>
      </c>
      <c r="Q278">
        <v>23125</v>
      </c>
      <c r="R278" s="33">
        <f>(Posts[[#This Row],[Likes]]+Posts[[#This Row],[Comments]]+Posts[[#This Row],[Shares]])/Posts[[#This Row],[Impressions]]*100</f>
        <v>8.1504318676747669</v>
      </c>
      <c r="S278">
        <v>172</v>
      </c>
      <c r="T278">
        <f>Posts[[#This Row],[New_Followers]]-Posts[[#This Row],[Unfollows]]</f>
        <v>1334</v>
      </c>
      <c r="U278" s="32">
        <f>Posts[[#This Row],[Engagement Rate]]/Posts[[#This Row],[Ad_Spend]]</f>
        <v>3.5245110779134127E-4</v>
      </c>
    </row>
    <row r="279" spans="1:21" x14ac:dyDescent="0.25">
      <c r="A279" s="1" t="s">
        <v>338</v>
      </c>
      <c r="B279" s="1" t="s">
        <v>11</v>
      </c>
      <c r="C279" s="2">
        <v>45803</v>
      </c>
      <c r="D279" s="1" t="s">
        <v>54</v>
      </c>
      <c r="E279" t="s">
        <v>69</v>
      </c>
      <c r="F279">
        <v>3086</v>
      </c>
      <c r="G279">
        <v>148</v>
      </c>
      <c r="H279">
        <v>310</v>
      </c>
      <c r="I279">
        <v>22824</v>
      </c>
      <c r="J279">
        <v>58103</v>
      </c>
      <c r="K279">
        <v>275</v>
      </c>
      <c r="L279" s="1" t="s">
        <v>26</v>
      </c>
      <c r="M279" s="1" t="s">
        <v>57</v>
      </c>
      <c r="N279" s="1" t="s">
        <v>23</v>
      </c>
      <c r="O279">
        <v>1402</v>
      </c>
      <c r="P279">
        <v>68</v>
      </c>
      <c r="Q279">
        <v>23125</v>
      </c>
      <c r="R279" s="33">
        <f>(Posts[[#This Row],[Likes]]+Posts[[#This Row],[Comments]]+Posts[[#This Row],[Shares]])/Posts[[#This Row],[Impressions]]*100</f>
        <v>15.527514896600071</v>
      </c>
      <c r="S279">
        <v>32</v>
      </c>
      <c r="T279">
        <f>Posts[[#This Row],[New_Followers]]-Posts[[#This Row],[Unfollows]]</f>
        <v>1334</v>
      </c>
      <c r="U279" s="32">
        <f>Posts[[#This Row],[Engagement Rate]]/Posts[[#This Row],[Ad_Spend]]</f>
        <v>6.7146010363675979E-4</v>
      </c>
    </row>
    <row r="280" spans="1:21" x14ac:dyDescent="0.25">
      <c r="A280" s="1" t="s">
        <v>339</v>
      </c>
      <c r="B280" s="1" t="s">
        <v>17</v>
      </c>
      <c r="C280" s="2">
        <v>45804</v>
      </c>
      <c r="D280" s="1" t="s">
        <v>51</v>
      </c>
      <c r="E280" t="s">
        <v>49</v>
      </c>
      <c r="F280">
        <v>4095</v>
      </c>
      <c r="G280">
        <v>385</v>
      </c>
      <c r="H280">
        <v>400</v>
      </c>
      <c r="I280">
        <v>45300</v>
      </c>
      <c r="J280">
        <v>31795</v>
      </c>
      <c r="K280">
        <v>80</v>
      </c>
      <c r="L280" s="1" t="s">
        <v>14</v>
      </c>
      <c r="M280" s="1" t="s">
        <v>18</v>
      </c>
      <c r="N280" s="1" t="s">
        <v>19</v>
      </c>
      <c r="O280">
        <v>995</v>
      </c>
      <c r="P280">
        <v>86</v>
      </c>
      <c r="Q280">
        <v>22788</v>
      </c>
      <c r="R280" s="33">
        <f>(Posts[[#This Row],[Likes]]+Posts[[#This Row],[Comments]]+Posts[[#This Row],[Shares]])/Posts[[#This Row],[Impressions]]*100</f>
        <v>10.772626931567329</v>
      </c>
      <c r="S280">
        <v>89</v>
      </c>
      <c r="T280">
        <f>Posts[[#This Row],[New_Followers]]-Posts[[#This Row],[Unfollows]]</f>
        <v>909</v>
      </c>
      <c r="U280" s="32">
        <f>Posts[[#This Row],[Engagement Rate]]/Posts[[#This Row],[Ad_Spend]]</f>
        <v>4.7273244389886473E-4</v>
      </c>
    </row>
    <row r="281" spans="1:21" x14ac:dyDescent="0.25">
      <c r="A281" s="1" t="s">
        <v>340</v>
      </c>
      <c r="B281" s="1" t="s">
        <v>17</v>
      </c>
      <c r="C281" s="2">
        <v>45805</v>
      </c>
      <c r="D281" s="1" t="s">
        <v>51</v>
      </c>
      <c r="E281" t="s">
        <v>55</v>
      </c>
      <c r="F281">
        <v>4287</v>
      </c>
      <c r="G281">
        <v>273</v>
      </c>
      <c r="H281">
        <v>122</v>
      </c>
      <c r="I281">
        <v>40792</v>
      </c>
      <c r="J281">
        <v>23878</v>
      </c>
      <c r="K281">
        <v>277</v>
      </c>
      <c r="L281" s="1" t="s">
        <v>14</v>
      </c>
      <c r="M281" s="1" t="s">
        <v>18</v>
      </c>
      <c r="N281" s="1" t="s">
        <v>19</v>
      </c>
      <c r="O281">
        <v>995</v>
      </c>
      <c r="P281">
        <v>86</v>
      </c>
      <c r="Q281">
        <v>22788</v>
      </c>
      <c r="R281" s="33">
        <f>(Posts[[#This Row],[Likes]]+Posts[[#This Row],[Comments]]+Posts[[#This Row],[Shares]])/Posts[[#This Row],[Impressions]]*100</f>
        <v>11.477740733477154</v>
      </c>
      <c r="S281">
        <v>71</v>
      </c>
      <c r="T281">
        <f>Posts[[#This Row],[New_Followers]]-Posts[[#This Row],[Unfollows]]</f>
        <v>909</v>
      </c>
      <c r="U281" s="32">
        <f>Posts[[#This Row],[Engagement Rate]]/Posts[[#This Row],[Ad_Spend]]</f>
        <v>5.0367477327879382E-4</v>
      </c>
    </row>
    <row r="282" spans="1:21" x14ac:dyDescent="0.25">
      <c r="A282" s="1" t="s">
        <v>341</v>
      </c>
      <c r="B282" s="1" t="s">
        <v>17</v>
      </c>
      <c r="C282" s="2">
        <v>45805</v>
      </c>
      <c r="D282" s="1" t="s">
        <v>54</v>
      </c>
      <c r="E282" t="s">
        <v>439</v>
      </c>
      <c r="F282">
        <v>2418</v>
      </c>
      <c r="G282">
        <v>161</v>
      </c>
      <c r="H282">
        <v>360</v>
      </c>
      <c r="I282">
        <v>30589</v>
      </c>
      <c r="J282">
        <v>41383</v>
      </c>
      <c r="K282">
        <v>88</v>
      </c>
      <c r="L282" s="1" t="s">
        <v>18</v>
      </c>
      <c r="M282" s="1" t="s">
        <v>57</v>
      </c>
      <c r="N282" s="1" t="s">
        <v>19</v>
      </c>
      <c r="O282">
        <v>995</v>
      </c>
      <c r="P282">
        <v>86</v>
      </c>
      <c r="Q282">
        <v>22788</v>
      </c>
      <c r="R282" s="33">
        <f>(Posts[[#This Row],[Likes]]+Posts[[#This Row],[Comments]]+Posts[[#This Row],[Shares]])/Posts[[#This Row],[Impressions]]*100</f>
        <v>9.6080290300434807</v>
      </c>
      <c r="S282">
        <v>118</v>
      </c>
      <c r="T282">
        <f>Posts[[#This Row],[New_Followers]]-Posts[[#This Row],[Unfollows]]</f>
        <v>909</v>
      </c>
      <c r="U282" s="32">
        <f>Posts[[#This Row],[Engagement Rate]]/Posts[[#This Row],[Ad_Spend]]</f>
        <v>4.2162669080408465E-4</v>
      </c>
    </row>
    <row r="283" spans="1:21" x14ac:dyDescent="0.25">
      <c r="A283" s="1" t="s">
        <v>342</v>
      </c>
      <c r="B283" s="1" t="s">
        <v>17</v>
      </c>
      <c r="C283" s="2">
        <v>45806</v>
      </c>
      <c r="D283" s="1" t="s">
        <v>51</v>
      </c>
      <c r="E283" t="s">
        <v>435</v>
      </c>
      <c r="F283">
        <v>2134</v>
      </c>
      <c r="G283">
        <v>322</v>
      </c>
      <c r="H283">
        <v>114</v>
      </c>
      <c r="I283">
        <v>44338</v>
      </c>
      <c r="J283">
        <v>52165</v>
      </c>
      <c r="K283">
        <v>176</v>
      </c>
      <c r="L283" s="1" t="s">
        <v>14</v>
      </c>
      <c r="M283" s="1" t="s">
        <v>18</v>
      </c>
      <c r="N283" s="1" t="s">
        <v>19</v>
      </c>
      <c r="O283">
        <v>995</v>
      </c>
      <c r="P283">
        <v>86</v>
      </c>
      <c r="Q283">
        <v>22788</v>
      </c>
      <c r="R283" s="33">
        <f>(Posts[[#This Row],[Likes]]+Posts[[#This Row],[Comments]]+Posts[[#This Row],[Shares]])/Posts[[#This Row],[Impressions]]*100</f>
        <v>5.7963823356939868</v>
      </c>
      <c r="S283">
        <v>230</v>
      </c>
      <c r="T283">
        <f>Posts[[#This Row],[New_Followers]]-Posts[[#This Row],[Unfollows]]</f>
        <v>909</v>
      </c>
      <c r="U283" s="32">
        <f>Posts[[#This Row],[Engagement Rate]]/Posts[[#This Row],[Ad_Spend]]</f>
        <v>2.5436116972503013E-4</v>
      </c>
    </row>
    <row r="284" spans="1:21" x14ac:dyDescent="0.25">
      <c r="A284" s="1" t="s">
        <v>343</v>
      </c>
      <c r="B284" s="1" t="s">
        <v>12</v>
      </c>
      <c r="C284" s="2">
        <v>45808</v>
      </c>
      <c r="D284" s="1" t="s">
        <v>48</v>
      </c>
      <c r="E284" t="s">
        <v>89</v>
      </c>
      <c r="F284">
        <v>2162</v>
      </c>
      <c r="G284">
        <v>318</v>
      </c>
      <c r="H284">
        <v>83</v>
      </c>
      <c r="I284">
        <v>46719</v>
      </c>
      <c r="J284">
        <v>20482</v>
      </c>
      <c r="K284">
        <v>185</v>
      </c>
      <c r="L284" s="1" t="s">
        <v>26</v>
      </c>
      <c r="M284" s="1" t="s">
        <v>22</v>
      </c>
      <c r="N284" s="1" t="s">
        <v>9</v>
      </c>
      <c r="O284">
        <v>1472</v>
      </c>
      <c r="P284">
        <v>296</v>
      </c>
      <c r="Q284">
        <v>7810</v>
      </c>
      <c r="R284" s="33">
        <f>(Posts[[#This Row],[Likes]]+Posts[[#This Row],[Comments]]+Posts[[#This Row],[Shares]])/Posts[[#This Row],[Impressions]]*100</f>
        <v>5.4859907104176031</v>
      </c>
      <c r="S284">
        <v>236</v>
      </c>
      <c r="T284">
        <f>Posts[[#This Row],[New_Followers]]-Posts[[#This Row],[Unfollows]]</f>
        <v>1176</v>
      </c>
      <c r="U284" s="32">
        <f>Posts[[#This Row],[Engagement Rate]]/Posts[[#This Row],[Ad_Spend]]</f>
        <v>7.0243158904194662E-4</v>
      </c>
    </row>
    <row r="285" spans="1:21" x14ac:dyDescent="0.25">
      <c r="A285" s="1" t="s">
        <v>344</v>
      </c>
      <c r="B285" s="1" t="s">
        <v>11</v>
      </c>
      <c r="C285" s="2">
        <v>45808</v>
      </c>
      <c r="D285" s="1" t="s">
        <v>54</v>
      </c>
      <c r="E285" t="s">
        <v>436</v>
      </c>
      <c r="F285">
        <v>2169</v>
      </c>
      <c r="G285">
        <v>240</v>
      </c>
      <c r="H285">
        <v>57</v>
      </c>
      <c r="I285">
        <v>26109</v>
      </c>
      <c r="J285">
        <v>46667</v>
      </c>
      <c r="K285">
        <v>133</v>
      </c>
      <c r="L285" s="1" t="s">
        <v>22</v>
      </c>
      <c r="M285" s="1" t="s">
        <v>18</v>
      </c>
      <c r="N285" s="1" t="s">
        <v>19</v>
      </c>
      <c r="O285">
        <v>1402</v>
      </c>
      <c r="P285">
        <v>68</v>
      </c>
      <c r="Q285">
        <v>23125</v>
      </c>
      <c r="R285" s="33">
        <f>(Posts[[#This Row],[Likes]]+Posts[[#This Row],[Comments]]+Posts[[#This Row],[Shares]])/Posts[[#This Row],[Impressions]]*100</f>
        <v>9.4450189589796612</v>
      </c>
      <c r="S285">
        <v>122</v>
      </c>
      <c r="T285">
        <f>Posts[[#This Row],[New_Followers]]-Posts[[#This Row],[Unfollows]]</f>
        <v>1334</v>
      </c>
      <c r="U285" s="32">
        <f>Posts[[#This Row],[Engagement Rate]]/Posts[[#This Row],[Ad_Spend]]</f>
        <v>4.0843325228020154E-4</v>
      </c>
    </row>
    <row r="286" spans="1:21" x14ac:dyDescent="0.25">
      <c r="A286" s="1" t="s">
        <v>345</v>
      </c>
      <c r="B286" s="1" t="s">
        <v>11</v>
      </c>
      <c r="C286" s="2">
        <v>45814</v>
      </c>
      <c r="D286" s="1" t="s">
        <v>54</v>
      </c>
      <c r="E286" t="s">
        <v>437</v>
      </c>
      <c r="F286">
        <v>3987</v>
      </c>
      <c r="G286">
        <v>171</v>
      </c>
      <c r="H286">
        <v>274</v>
      </c>
      <c r="I286">
        <v>45122</v>
      </c>
      <c r="J286">
        <v>65431</v>
      </c>
      <c r="K286">
        <v>168</v>
      </c>
      <c r="L286" s="1" t="s">
        <v>26</v>
      </c>
      <c r="M286" s="1" t="s">
        <v>57</v>
      </c>
      <c r="N286" s="1" t="s">
        <v>23</v>
      </c>
      <c r="O286">
        <v>1402</v>
      </c>
      <c r="P286">
        <v>68</v>
      </c>
      <c r="Q286">
        <v>23125</v>
      </c>
      <c r="R286" s="33">
        <f>(Posts[[#This Row],[Likes]]+Posts[[#This Row],[Comments]]+Posts[[#This Row],[Shares]])/Posts[[#This Row],[Impressions]]*100</f>
        <v>9.8222596516111871</v>
      </c>
      <c r="S286">
        <v>111</v>
      </c>
      <c r="T286">
        <f>Posts[[#This Row],[New_Followers]]-Posts[[#This Row],[Unfollows]]</f>
        <v>1334</v>
      </c>
      <c r="U286" s="32">
        <f>Posts[[#This Row],[Engagement Rate]]/Posts[[#This Row],[Ad_Spend]]</f>
        <v>4.247463633129162E-4</v>
      </c>
    </row>
    <row r="287" spans="1:21" x14ac:dyDescent="0.25">
      <c r="A287" s="1" t="s">
        <v>346</v>
      </c>
      <c r="B287" s="1" t="s">
        <v>12</v>
      </c>
      <c r="C287" s="2">
        <v>45816</v>
      </c>
      <c r="D287" s="1" t="s">
        <v>54</v>
      </c>
      <c r="E287" t="s">
        <v>435</v>
      </c>
      <c r="F287">
        <v>4375</v>
      </c>
      <c r="G287">
        <v>303</v>
      </c>
      <c r="H287">
        <v>294</v>
      </c>
      <c r="I287">
        <v>57468</v>
      </c>
      <c r="J287">
        <v>53397</v>
      </c>
      <c r="K287">
        <v>159</v>
      </c>
      <c r="L287" s="1" t="s">
        <v>26</v>
      </c>
      <c r="M287" s="1" t="s">
        <v>13</v>
      </c>
      <c r="N287" s="1" t="s">
        <v>23</v>
      </c>
      <c r="O287">
        <v>1472</v>
      </c>
      <c r="P287">
        <v>296</v>
      </c>
      <c r="Q287">
        <v>7810</v>
      </c>
      <c r="R287" s="33">
        <f>(Posts[[#This Row],[Likes]]+Posts[[#This Row],[Comments]]+Posts[[#This Row],[Shares]])/Posts[[#This Row],[Impressions]]*100</f>
        <v>8.6517714206166918</v>
      </c>
      <c r="S287">
        <v>150</v>
      </c>
      <c r="T287">
        <f>Posts[[#This Row],[New_Followers]]-Posts[[#This Row],[Unfollows]]</f>
        <v>1176</v>
      </c>
      <c r="U287" s="32">
        <f>Posts[[#This Row],[Engagement Rate]]/Posts[[#This Row],[Ad_Spend]]</f>
        <v>1.1077812318331232E-3</v>
      </c>
    </row>
    <row r="288" spans="1:21" x14ac:dyDescent="0.25">
      <c r="A288" s="1" t="s">
        <v>347</v>
      </c>
      <c r="B288" s="1" t="s">
        <v>17</v>
      </c>
      <c r="C288" s="2">
        <v>45818</v>
      </c>
      <c r="D288" s="1" t="s">
        <v>54</v>
      </c>
      <c r="E288" t="s">
        <v>49</v>
      </c>
      <c r="F288">
        <v>3615</v>
      </c>
      <c r="G288">
        <v>192</v>
      </c>
      <c r="H288">
        <v>162</v>
      </c>
      <c r="I288">
        <v>27492</v>
      </c>
      <c r="J288">
        <v>35341</v>
      </c>
      <c r="K288">
        <v>125</v>
      </c>
      <c r="L288" s="1" t="s">
        <v>18</v>
      </c>
      <c r="M288" s="1" t="s">
        <v>57</v>
      </c>
      <c r="N288" s="1" t="s">
        <v>19</v>
      </c>
      <c r="O288">
        <v>995</v>
      </c>
      <c r="P288">
        <v>86</v>
      </c>
      <c r="Q288">
        <v>22788</v>
      </c>
      <c r="R288" s="33">
        <f>(Posts[[#This Row],[Likes]]+Posts[[#This Row],[Comments]]+Posts[[#This Row],[Shares]])/Posts[[#This Row],[Impressions]]*100</f>
        <v>14.436927106067218</v>
      </c>
      <c r="S288">
        <v>42</v>
      </c>
      <c r="T288">
        <f>Posts[[#This Row],[New_Followers]]-Posts[[#This Row],[Unfollows]]</f>
        <v>909</v>
      </c>
      <c r="U288" s="32">
        <f>Posts[[#This Row],[Engagement Rate]]/Posts[[#This Row],[Ad_Spend]]</f>
        <v>6.3353199517584776E-4</v>
      </c>
    </row>
    <row r="289" spans="1:21" x14ac:dyDescent="0.25">
      <c r="A289" s="1" t="s">
        <v>348</v>
      </c>
      <c r="B289" s="1" t="s">
        <v>17</v>
      </c>
      <c r="C289" s="2">
        <v>45819</v>
      </c>
      <c r="D289" s="1" t="s">
        <v>51</v>
      </c>
      <c r="E289" t="s">
        <v>49</v>
      </c>
      <c r="F289">
        <v>3805</v>
      </c>
      <c r="G289">
        <v>453</v>
      </c>
      <c r="H289">
        <v>63</v>
      </c>
      <c r="I289">
        <v>52395</v>
      </c>
      <c r="J289">
        <v>72934</v>
      </c>
      <c r="K289">
        <v>87</v>
      </c>
      <c r="L289" s="1" t="s">
        <v>26</v>
      </c>
      <c r="M289" s="1" t="s">
        <v>14</v>
      </c>
      <c r="N289" s="1" t="s">
        <v>19</v>
      </c>
      <c r="O289">
        <v>995</v>
      </c>
      <c r="P289">
        <v>86</v>
      </c>
      <c r="Q289">
        <v>22788</v>
      </c>
      <c r="R289" s="33">
        <f>(Posts[[#This Row],[Likes]]+Posts[[#This Row],[Comments]]+Posts[[#This Row],[Shares]])/Posts[[#This Row],[Impressions]]*100</f>
        <v>8.2469701307376653</v>
      </c>
      <c r="S289">
        <v>168</v>
      </c>
      <c r="T289">
        <f>Posts[[#This Row],[New_Followers]]-Posts[[#This Row],[Unfollows]]</f>
        <v>909</v>
      </c>
      <c r="U289" s="32">
        <f>Posts[[#This Row],[Engagement Rate]]/Posts[[#This Row],[Ad_Spend]]</f>
        <v>3.6189968978136148E-4</v>
      </c>
    </row>
    <row r="290" spans="1:21" x14ac:dyDescent="0.25">
      <c r="A290" s="36" t="s">
        <v>349</v>
      </c>
      <c r="B290" s="36" t="s">
        <v>11</v>
      </c>
      <c r="C290" s="40">
        <v>45823</v>
      </c>
      <c r="D290" s="36" t="s">
        <v>54</v>
      </c>
      <c r="E290" s="36" t="s">
        <v>49</v>
      </c>
      <c r="F290" s="36">
        <v>4896</v>
      </c>
      <c r="G290" s="36">
        <v>466</v>
      </c>
      <c r="H290" s="36">
        <v>233</v>
      </c>
      <c r="I290" s="36">
        <v>28621</v>
      </c>
      <c r="J290" s="36">
        <v>34270</v>
      </c>
      <c r="K290" s="36">
        <v>84</v>
      </c>
      <c r="L290" s="36" t="s">
        <v>22</v>
      </c>
      <c r="M290" s="36" t="s">
        <v>18</v>
      </c>
      <c r="N290" s="36" t="s">
        <v>19</v>
      </c>
      <c r="O290" s="36">
        <v>1402</v>
      </c>
      <c r="P290" s="36">
        <v>68</v>
      </c>
      <c r="Q290" s="36">
        <v>23125</v>
      </c>
      <c r="R290" s="33">
        <f>(Posts[[#This Row],[Likes]]+Posts[[#This Row],[Comments]]+Posts[[#This Row],[Shares]])/Posts[[#This Row],[Impressions]]*100</f>
        <v>19.548583208133888</v>
      </c>
      <c r="S290">
        <v>6</v>
      </c>
      <c r="T290" s="36">
        <f>Posts[[#This Row],[New_Followers]]-Posts[[#This Row],[Unfollows]]</f>
        <v>1334</v>
      </c>
      <c r="U290" s="36">
        <f>Posts[[#This Row],[Engagement Rate]]/Posts[[#This Row],[Ad_Spend]]</f>
        <v>8.4534413873011403E-4</v>
      </c>
    </row>
    <row r="291" spans="1:21" x14ac:dyDescent="0.25">
      <c r="A291" s="1" t="s">
        <v>350</v>
      </c>
      <c r="B291" s="1" t="s">
        <v>11</v>
      </c>
      <c r="C291" s="2">
        <v>45823</v>
      </c>
      <c r="D291" s="1" t="s">
        <v>54</v>
      </c>
      <c r="E291" t="s">
        <v>436</v>
      </c>
      <c r="F291">
        <v>2478</v>
      </c>
      <c r="G291">
        <v>427</v>
      </c>
      <c r="H291">
        <v>242</v>
      </c>
      <c r="I291">
        <v>59272</v>
      </c>
      <c r="J291">
        <v>37833</v>
      </c>
      <c r="K291">
        <v>214</v>
      </c>
      <c r="L291" s="1" t="s">
        <v>22</v>
      </c>
      <c r="M291" s="1" t="s">
        <v>18</v>
      </c>
      <c r="N291" s="1" t="s">
        <v>19</v>
      </c>
      <c r="O291">
        <v>1402</v>
      </c>
      <c r="P291">
        <v>68</v>
      </c>
      <c r="Q291">
        <v>23125</v>
      </c>
      <c r="R291" s="33">
        <f>(Posts[[#This Row],[Likes]]+Posts[[#This Row],[Comments]]+Posts[[#This Row],[Shares]])/Posts[[#This Row],[Impressions]]*100</f>
        <v>5.3094209744904841</v>
      </c>
      <c r="S291">
        <v>242</v>
      </c>
      <c r="T291">
        <f>Posts[[#This Row],[New_Followers]]-Posts[[#This Row],[Unfollows]]</f>
        <v>1334</v>
      </c>
      <c r="U291" s="32">
        <f>Posts[[#This Row],[Engagement Rate]]/Posts[[#This Row],[Ad_Spend]]</f>
        <v>2.2959658268066957E-4</v>
      </c>
    </row>
    <row r="292" spans="1:21" x14ac:dyDescent="0.25">
      <c r="A292" s="1" t="s">
        <v>351</v>
      </c>
      <c r="B292" s="1" t="s">
        <v>17</v>
      </c>
      <c r="C292" s="2">
        <v>45823</v>
      </c>
      <c r="D292" s="1" t="s">
        <v>54</v>
      </c>
      <c r="E292" t="s">
        <v>55</v>
      </c>
      <c r="F292">
        <v>4432</v>
      </c>
      <c r="G292">
        <v>223</v>
      </c>
      <c r="H292">
        <v>299</v>
      </c>
      <c r="I292">
        <v>59016</v>
      </c>
      <c r="J292">
        <v>21742</v>
      </c>
      <c r="K292">
        <v>171</v>
      </c>
      <c r="L292" s="1" t="s">
        <v>18</v>
      </c>
      <c r="M292" s="1" t="s">
        <v>57</v>
      </c>
      <c r="N292" s="1" t="s">
        <v>19</v>
      </c>
      <c r="O292">
        <v>995</v>
      </c>
      <c r="P292">
        <v>86</v>
      </c>
      <c r="Q292">
        <v>22788</v>
      </c>
      <c r="R292" s="33">
        <f>(Posts[[#This Row],[Likes]]+Posts[[#This Row],[Comments]]+Posts[[#This Row],[Shares]])/Posts[[#This Row],[Impressions]]*100</f>
        <v>8.3943337400027112</v>
      </c>
      <c r="S292">
        <v>162</v>
      </c>
      <c r="T292">
        <f>Posts[[#This Row],[New_Followers]]-Posts[[#This Row],[Unfollows]]</f>
        <v>909</v>
      </c>
      <c r="U292" s="32">
        <f>Posts[[#This Row],[Engagement Rate]]/Posts[[#This Row],[Ad_Spend]]</f>
        <v>3.6836640951389818E-4</v>
      </c>
    </row>
    <row r="293" spans="1:21" x14ac:dyDescent="0.25">
      <c r="A293" s="1" t="s">
        <v>352</v>
      </c>
      <c r="B293" s="1" t="s">
        <v>17</v>
      </c>
      <c r="C293" s="2">
        <v>45825</v>
      </c>
      <c r="D293" s="1" t="s">
        <v>51</v>
      </c>
      <c r="E293" t="s">
        <v>435</v>
      </c>
      <c r="F293">
        <v>4341</v>
      </c>
      <c r="G293">
        <v>141</v>
      </c>
      <c r="H293">
        <v>63</v>
      </c>
      <c r="I293">
        <v>50081</v>
      </c>
      <c r="J293">
        <v>27507</v>
      </c>
      <c r="K293">
        <v>221</v>
      </c>
      <c r="L293" s="1" t="s">
        <v>26</v>
      </c>
      <c r="M293" s="1" t="s">
        <v>14</v>
      </c>
      <c r="N293" s="1" t="s">
        <v>19</v>
      </c>
      <c r="O293">
        <v>995</v>
      </c>
      <c r="P293">
        <v>86</v>
      </c>
      <c r="Q293">
        <v>22788</v>
      </c>
      <c r="R293" s="33">
        <f>(Posts[[#This Row],[Likes]]+Posts[[#This Row],[Comments]]+Posts[[#This Row],[Shares]])/Posts[[#This Row],[Impressions]]*100</f>
        <v>9.0752980172121163</v>
      </c>
      <c r="S293">
        <v>137</v>
      </c>
      <c r="T293">
        <f>Posts[[#This Row],[New_Followers]]-Posts[[#This Row],[Unfollows]]</f>
        <v>909</v>
      </c>
      <c r="U293" s="32">
        <f>Posts[[#This Row],[Engagement Rate]]/Posts[[#This Row],[Ad_Spend]]</f>
        <v>3.9824899145217288E-4</v>
      </c>
    </row>
    <row r="294" spans="1:21" x14ac:dyDescent="0.25">
      <c r="A294" s="1" t="s">
        <v>353</v>
      </c>
      <c r="B294" s="1" t="s">
        <v>11</v>
      </c>
      <c r="C294" s="2">
        <v>45825</v>
      </c>
      <c r="D294" s="1" t="s">
        <v>54</v>
      </c>
      <c r="E294" t="s">
        <v>49</v>
      </c>
      <c r="F294">
        <v>2284</v>
      </c>
      <c r="G294">
        <v>187</v>
      </c>
      <c r="H294">
        <v>260</v>
      </c>
      <c r="I294">
        <v>37400</v>
      </c>
      <c r="J294">
        <v>65014</v>
      </c>
      <c r="K294">
        <v>157</v>
      </c>
      <c r="L294" s="1" t="s">
        <v>22</v>
      </c>
      <c r="M294" s="1" t="s">
        <v>18</v>
      </c>
      <c r="N294" s="1" t="s">
        <v>19</v>
      </c>
      <c r="O294">
        <v>1402</v>
      </c>
      <c r="P294">
        <v>68</v>
      </c>
      <c r="Q294">
        <v>23125</v>
      </c>
      <c r="R294" s="33">
        <f>(Posts[[#This Row],[Likes]]+Posts[[#This Row],[Comments]]+Posts[[#This Row],[Shares]])/Posts[[#This Row],[Impressions]]*100</f>
        <v>7.3021390374331556</v>
      </c>
      <c r="S294">
        <v>194</v>
      </c>
      <c r="T294">
        <f>Posts[[#This Row],[New_Followers]]-Posts[[#This Row],[Unfollows]]</f>
        <v>1334</v>
      </c>
      <c r="U294" s="32">
        <f>Posts[[#This Row],[Engagement Rate]]/Posts[[#This Row],[Ad_Spend]]</f>
        <v>3.1576817459170401E-4</v>
      </c>
    </row>
    <row r="295" spans="1:21" x14ac:dyDescent="0.25">
      <c r="A295" s="1" t="s">
        <v>354</v>
      </c>
      <c r="B295" s="1" t="s">
        <v>17</v>
      </c>
      <c r="C295" s="2">
        <v>45826</v>
      </c>
      <c r="D295" s="1" t="s">
        <v>51</v>
      </c>
      <c r="E295" t="s">
        <v>69</v>
      </c>
      <c r="F295">
        <v>3956</v>
      </c>
      <c r="G295">
        <v>319</v>
      </c>
      <c r="H295">
        <v>61</v>
      </c>
      <c r="I295">
        <v>58162</v>
      </c>
      <c r="J295">
        <v>28720</v>
      </c>
      <c r="K295">
        <v>213</v>
      </c>
      <c r="L295" s="1" t="s">
        <v>14</v>
      </c>
      <c r="M295" s="1" t="s">
        <v>18</v>
      </c>
      <c r="N295" s="1" t="s">
        <v>19</v>
      </c>
      <c r="O295">
        <v>995</v>
      </c>
      <c r="P295">
        <v>86</v>
      </c>
      <c r="Q295">
        <v>22788</v>
      </c>
      <c r="R295" s="33">
        <f>(Posts[[#This Row],[Likes]]+Posts[[#This Row],[Comments]]+Posts[[#This Row],[Shares]])/Posts[[#This Row],[Impressions]]*100</f>
        <v>7.4550393727863558</v>
      </c>
      <c r="S295">
        <v>191</v>
      </c>
      <c r="T295">
        <f>Posts[[#This Row],[New_Followers]]-Posts[[#This Row],[Unfollows]]</f>
        <v>909</v>
      </c>
      <c r="U295" s="32">
        <f>Posts[[#This Row],[Engagement Rate]]/Posts[[#This Row],[Ad_Spend]]</f>
        <v>3.2714759403134789E-4</v>
      </c>
    </row>
    <row r="296" spans="1:21" x14ac:dyDescent="0.25">
      <c r="A296" s="1" t="s">
        <v>355</v>
      </c>
      <c r="B296" s="1" t="s">
        <v>17</v>
      </c>
      <c r="C296" s="2">
        <v>45827</v>
      </c>
      <c r="D296" s="1" t="s">
        <v>51</v>
      </c>
      <c r="E296" t="s">
        <v>436</v>
      </c>
      <c r="F296">
        <v>1433</v>
      </c>
      <c r="G296">
        <v>452</v>
      </c>
      <c r="H296">
        <v>305</v>
      </c>
      <c r="I296">
        <v>54541</v>
      </c>
      <c r="J296">
        <v>63700</v>
      </c>
      <c r="K296">
        <v>296</v>
      </c>
      <c r="L296" s="1" t="s">
        <v>26</v>
      </c>
      <c r="M296" s="1" t="s">
        <v>14</v>
      </c>
      <c r="N296" s="1" t="s">
        <v>19</v>
      </c>
      <c r="O296">
        <v>995</v>
      </c>
      <c r="P296">
        <v>86</v>
      </c>
      <c r="Q296">
        <v>22788</v>
      </c>
      <c r="R296" s="33">
        <f>(Posts[[#This Row],[Likes]]+Posts[[#This Row],[Comments]]+Posts[[#This Row],[Shares]])/Posts[[#This Row],[Impressions]]*100</f>
        <v>4.0153279184466735</v>
      </c>
      <c r="S296">
        <v>275</v>
      </c>
      <c r="T296">
        <f>Posts[[#This Row],[New_Followers]]-Posts[[#This Row],[Unfollows]]</f>
        <v>909</v>
      </c>
      <c r="U296" s="32">
        <f>Posts[[#This Row],[Engagement Rate]]/Posts[[#This Row],[Ad_Spend]]</f>
        <v>1.7620361235942924E-4</v>
      </c>
    </row>
    <row r="297" spans="1:21" x14ac:dyDescent="0.25">
      <c r="A297" s="1" t="s">
        <v>356</v>
      </c>
      <c r="B297" s="1" t="s">
        <v>17</v>
      </c>
      <c r="C297" s="2">
        <v>45829</v>
      </c>
      <c r="D297" s="1" t="s">
        <v>54</v>
      </c>
      <c r="E297" t="s">
        <v>49</v>
      </c>
      <c r="F297">
        <v>3611</v>
      </c>
      <c r="G297">
        <v>127</v>
      </c>
      <c r="H297">
        <v>139</v>
      </c>
      <c r="I297">
        <v>44768</v>
      </c>
      <c r="J297">
        <v>29435</v>
      </c>
      <c r="K297">
        <v>178</v>
      </c>
      <c r="L297" s="1" t="s">
        <v>18</v>
      </c>
      <c r="M297" s="1" t="s">
        <v>57</v>
      </c>
      <c r="N297" s="1" t="s">
        <v>19</v>
      </c>
      <c r="O297">
        <v>995</v>
      </c>
      <c r="P297">
        <v>86</v>
      </c>
      <c r="Q297">
        <v>22788</v>
      </c>
      <c r="R297" s="33">
        <f>(Posts[[#This Row],[Likes]]+Posts[[#This Row],[Comments]]+Posts[[#This Row],[Shares]])/Posts[[#This Row],[Impressions]]*100</f>
        <v>8.6602037169406714</v>
      </c>
      <c r="S297">
        <v>148</v>
      </c>
      <c r="T297">
        <f>Posts[[#This Row],[New_Followers]]-Posts[[#This Row],[Unfollows]]</f>
        <v>909</v>
      </c>
      <c r="U297" s="32">
        <f>Posts[[#This Row],[Engagement Rate]]/Posts[[#This Row],[Ad_Spend]]</f>
        <v>3.8003351399599225E-4</v>
      </c>
    </row>
    <row r="298" spans="1:21" x14ac:dyDescent="0.25">
      <c r="A298" s="10" t="s">
        <v>357</v>
      </c>
      <c r="B298" s="10" t="s">
        <v>11</v>
      </c>
      <c r="C298" s="23">
        <v>45832</v>
      </c>
      <c r="D298" s="10" t="s">
        <v>51</v>
      </c>
      <c r="E298" s="10" t="s">
        <v>89</v>
      </c>
      <c r="F298" s="10">
        <v>4902</v>
      </c>
      <c r="G298" s="10">
        <v>422</v>
      </c>
      <c r="H298" s="10">
        <v>376</v>
      </c>
      <c r="I298" s="10">
        <v>31674</v>
      </c>
      <c r="J298" s="10">
        <v>53225</v>
      </c>
      <c r="K298" s="10">
        <v>147</v>
      </c>
      <c r="L298" s="10" t="s">
        <v>18</v>
      </c>
      <c r="M298" s="10" t="s">
        <v>57</v>
      </c>
      <c r="N298" s="10" t="s">
        <v>15</v>
      </c>
      <c r="O298" s="10">
        <v>1402</v>
      </c>
      <c r="P298" s="10">
        <v>68</v>
      </c>
      <c r="Q298" s="10">
        <v>23125</v>
      </c>
      <c r="R298" s="34">
        <f>(Posts[[#This Row],[Likes]]+Posts[[#This Row],[Comments]]+Posts[[#This Row],[Shares]])/Posts[[#This Row],[Impressions]]*100</f>
        <v>17.995832544042432</v>
      </c>
      <c r="S298">
        <v>12</v>
      </c>
      <c r="T298" s="10">
        <f>Posts[[#This Row],[New_Followers]]-Posts[[#This Row],[Unfollows]]</f>
        <v>1334</v>
      </c>
      <c r="U298" s="10">
        <f>Posts[[#This Row],[Engagement Rate]]/Posts[[#This Row],[Ad_Spend]]</f>
        <v>7.7819816406669981E-4</v>
      </c>
    </row>
    <row r="299" spans="1:21" x14ac:dyDescent="0.25">
      <c r="A299" s="1" t="s">
        <v>358</v>
      </c>
      <c r="B299" s="1" t="s">
        <v>11</v>
      </c>
      <c r="C299" s="2">
        <v>45835</v>
      </c>
      <c r="D299" s="1" t="s">
        <v>51</v>
      </c>
      <c r="E299" t="s">
        <v>436</v>
      </c>
      <c r="F299">
        <v>1342</v>
      </c>
      <c r="G299">
        <v>332</v>
      </c>
      <c r="H299">
        <v>163</v>
      </c>
      <c r="I299">
        <v>51712</v>
      </c>
      <c r="J299">
        <v>57922</v>
      </c>
      <c r="K299">
        <v>168</v>
      </c>
      <c r="L299" s="1" t="s">
        <v>18</v>
      </c>
      <c r="M299" s="1" t="s">
        <v>57</v>
      </c>
      <c r="N299" s="1" t="s">
        <v>15</v>
      </c>
      <c r="O299">
        <v>1402</v>
      </c>
      <c r="P299">
        <v>68</v>
      </c>
      <c r="Q299">
        <v>23125</v>
      </c>
      <c r="R299" s="33">
        <f>(Posts[[#This Row],[Likes]]+Posts[[#This Row],[Comments]]+Posts[[#This Row],[Shares]])/Posts[[#This Row],[Impressions]]*100</f>
        <v>3.5523669554455446</v>
      </c>
      <c r="S299">
        <v>286</v>
      </c>
      <c r="T299">
        <f>Posts[[#This Row],[New_Followers]]-Posts[[#This Row],[Unfollows]]</f>
        <v>1334</v>
      </c>
      <c r="U299" s="32">
        <f>Posts[[#This Row],[Engagement Rate]]/Posts[[#This Row],[Ad_Spend]]</f>
        <v>1.5361586834359111E-4</v>
      </c>
    </row>
    <row r="300" spans="1:21" x14ac:dyDescent="0.25">
      <c r="A300" s="1" t="s">
        <v>359</v>
      </c>
      <c r="B300" s="1" t="s">
        <v>17</v>
      </c>
      <c r="C300" s="2">
        <v>45838</v>
      </c>
      <c r="D300" s="1" t="s">
        <v>54</v>
      </c>
      <c r="E300" t="s">
        <v>436</v>
      </c>
      <c r="F300">
        <v>2275</v>
      </c>
      <c r="G300">
        <v>285</v>
      </c>
      <c r="H300">
        <v>125</v>
      </c>
      <c r="I300">
        <v>43970</v>
      </c>
      <c r="J300">
        <v>74761</v>
      </c>
      <c r="K300">
        <v>83</v>
      </c>
      <c r="L300" s="1" t="s">
        <v>18</v>
      </c>
      <c r="M300" s="1" t="s">
        <v>57</v>
      </c>
      <c r="N300" s="1" t="s">
        <v>19</v>
      </c>
      <c r="O300">
        <v>995</v>
      </c>
      <c r="P300">
        <v>86</v>
      </c>
      <c r="Q300">
        <v>22788</v>
      </c>
      <c r="R300" s="33">
        <f>(Posts[[#This Row],[Likes]]+Posts[[#This Row],[Comments]]+Posts[[#This Row],[Shares]])/Posts[[#This Row],[Impressions]]*100</f>
        <v>6.1064362065044353</v>
      </c>
      <c r="S300">
        <v>221</v>
      </c>
      <c r="T300">
        <f>Posts[[#This Row],[New_Followers]]-Posts[[#This Row],[Unfollows]]</f>
        <v>909</v>
      </c>
      <c r="U300" s="32">
        <f>Posts[[#This Row],[Engagement Rate]]/Posts[[#This Row],[Ad_Spend]]</f>
        <v>2.6796718476849372E-4</v>
      </c>
    </row>
    <row r="301" spans="1:21" x14ac:dyDescent="0.25">
      <c r="A301" s="1" t="s">
        <v>360</v>
      </c>
      <c r="B301" s="1" t="s">
        <v>17</v>
      </c>
      <c r="C301" s="2">
        <v>45839</v>
      </c>
      <c r="D301" s="1" t="s">
        <v>51</v>
      </c>
      <c r="E301" t="s">
        <v>49</v>
      </c>
      <c r="F301">
        <v>3219</v>
      </c>
      <c r="G301">
        <v>424</v>
      </c>
      <c r="H301">
        <v>267</v>
      </c>
      <c r="I301">
        <v>48879</v>
      </c>
      <c r="J301">
        <v>37691</v>
      </c>
      <c r="K301">
        <v>224</v>
      </c>
      <c r="L301" s="1" t="s">
        <v>26</v>
      </c>
      <c r="M301" s="1" t="s">
        <v>14</v>
      </c>
      <c r="N301" s="1" t="s">
        <v>19</v>
      </c>
      <c r="O301">
        <v>995</v>
      </c>
      <c r="P301">
        <v>86</v>
      </c>
      <c r="Q301">
        <v>22788</v>
      </c>
      <c r="R301" s="33">
        <f>(Posts[[#This Row],[Likes]]+Posts[[#This Row],[Comments]]+Posts[[#This Row],[Shares]])/Posts[[#This Row],[Impressions]]*100</f>
        <v>7.9993453221219744</v>
      </c>
      <c r="S301">
        <v>179</v>
      </c>
      <c r="T301">
        <f>Posts[[#This Row],[New_Followers]]-Posts[[#This Row],[Unfollows]]</f>
        <v>909</v>
      </c>
      <c r="U301" s="32">
        <f>Posts[[#This Row],[Engagement Rate]]/Posts[[#This Row],[Ad_Spend]]</f>
        <v>3.5103323337379208E-4</v>
      </c>
    </row>
    <row r="303" spans="1:21" x14ac:dyDescent="0.25">
      <c r="A303" s="8" t="s">
        <v>379</v>
      </c>
    </row>
    <row r="304" spans="1:21" x14ac:dyDescent="0.25">
      <c r="A304" s="52" t="s">
        <v>378</v>
      </c>
      <c r="B304" s="52"/>
      <c r="C304" s="52"/>
      <c r="D304" s="52"/>
      <c r="E304" s="52"/>
    </row>
    <row r="306" spans="1:5" x14ac:dyDescent="0.25">
      <c r="A306" s="52" t="s">
        <v>475</v>
      </c>
      <c r="B306" s="52"/>
      <c r="C306" s="52"/>
      <c r="D306" s="52"/>
      <c r="E306" s="52"/>
    </row>
    <row r="308" spans="1:5" x14ac:dyDescent="0.25">
      <c r="A308" t="s">
        <v>476</v>
      </c>
    </row>
  </sheetData>
  <mergeCells count="2">
    <mergeCell ref="A306:E306"/>
    <mergeCell ref="A304:E304"/>
  </mergeCells>
  <conditionalFormatting sqref="R2:R301">
    <cfRule type="top10" dxfId="7" priority="2" rank="10"/>
  </conditionalFormatting>
  <conditionalFormatting sqref="S2:S301">
    <cfRule type="cellIs" dxfId="6" priority="1" operator="between">
      <formula>1</formula>
      <formula>25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B0B5C-2A2F-4057-B370-EA71AE1E75B3}">
  <sheetPr codeName="Sheet4"/>
  <dimension ref="A1:F13"/>
  <sheetViews>
    <sheetView workbookViewId="0">
      <selection activeCell="H11" sqref="H11"/>
    </sheetView>
  </sheetViews>
  <sheetFormatPr defaultRowHeight="15" x14ac:dyDescent="0.25"/>
  <cols>
    <col min="1" max="1" width="13.42578125" bestFit="1" customWidth="1"/>
    <col min="2" max="2" width="12.42578125" bestFit="1" customWidth="1"/>
    <col min="3" max="3" width="18" bestFit="1" customWidth="1"/>
    <col min="4" max="4" width="14" bestFit="1" customWidth="1"/>
    <col min="5" max="5" width="19.140625" bestFit="1" customWidth="1"/>
    <col min="6" max="6" width="15.7109375" bestFit="1" customWidth="1"/>
  </cols>
  <sheetData>
    <row r="1" spans="1:6" x14ac:dyDescent="0.25">
      <c r="A1" s="53" t="s">
        <v>405</v>
      </c>
      <c r="B1" s="53"/>
    </row>
    <row r="3" spans="1:6" x14ac:dyDescent="0.25">
      <c r="A3" t="s">
        <v>372</v>
      </c>
    </row>
    <row r="5" spans="1:6" x14ac:dyDescent="0.25">
      <c r="A5" s="3" t="s">
        <v>361</v>
      </c>
      <c r="B5" t="s">
        <v>363</v>
      </c>
      <c r="C5" t="s">
        <v>364</v>
      </c>
      <c r="D5" t="s">
        <v>365</v>
      </c>
      <c r="E5" t="s">
        <v>366</v>
      </c>
      <c r="F5" s="5" t="s">
        <v>367</v>
      </c>
    </row>
    <row r="6" spans="1:6" x14ac:dyDescent="0.25">
      <c r="A6" s="4" t="s">
        <v>11</v>
      </c>
      <c r="B6" s="1">
        <v>251473</v>
      </c>
      <c r="C6" s="1">
        <v>20818</v>
      </c>
      <c r="D6" s="1">
        <v>29285</v>
      </c>
      <c r="E6" s="1">
        <v>3553489</v>
      </c>
      <c r="F6">
        <f>(B6+C6+D6)/E6*100</f>
        <v>8.4867576626802546</v>
      </c>
    </row>
    <row r="7" spans="1:6" x14ac:dyDescent="0.25">
      <c r="A7" s="4" t="s">
        <v>17</v>
      </c>
      <c r="B7" s="1">
        <v>450295</v>
      </c>
      <c r="C7" s="1">
        <v>31577</v>
      </c>
      <c r="D7" s="1">
        <v>45498</v>
      </c>
      <c r="E7" s="1">
        <v>6138949</v>
      </c>
      <c r="F7" s="35">
        <f t="shared" ref="F7:F8" si="0">(B7+C7+D7)/E7*100</f>
        <v>8.5905584164325202</v>
      </c>
    </row>
    <row r="8" spans="1:6" x14ac:dyDescent="0.25">
      <c r="A8" s="4" t="s">
        <v>12</v>
      </c>
      <c r="B8" s="1">
        <v>195407</v>
      </c>
      <c r="C8" s="1">
        <v>14671</v>
      </c>
      <c r="D8" s="1">
        <v>18618</v>
      </c>
      <c r="E8" s="1">
        <v>2777994</v>
      </c>
      <c r="F8" s="35">
        <f t="shared" si="0"/>
        <v>8.2324151888017028</v>
      </c>
    </row>
    <row r="10" spans="1:6" x14ac:dyDescent="0.25">
      <c r="A10" s="3" t="s">
        <v>361</v>
      </c>
      <c r="B10" t="s">
        <v>368</v>
      </c>
      <c r="C10" t="s">
        <v>369</v>
      </c>
      <c r="D10" t="s">
        <v>370</v>
      </c>
      <c r="E10" t="s">
        <v>371</v>
      </c>
      <c r="F10" s="5" t="s">
        <v>367</v>
      </c>
    </row>
    <row r="11" spans="1:6" x14ac:dyDescent="0.25">
      <c r="A11" s="4" t="s">
        <v>11</v>
      </c>
      <c r="B11" s="6">
        <v>2825.5393258426966</v>
      </c>
      <c r="C11" s="6">
        <v>233.91011235955057</v>
      </c>
      <c r="D11" s="6">
        <v>329.04494382022472</v>
      </c>
      <c r="E11" s="6">
        <v>39926.84269662921</v>
      </c>
      <c r="F11">
        <f>(B11+C11+D11)/E11*100</f>
        <v>8.4867576626802546</v>
      </c>
    </row>
    <row r="12" spans="1:6" x14ac:dyDescent="0.25">
      <c r="A12" s="4" t="s">
        <v>17</v>
      </c>
      <c r="B12" s="6">
        <v>3042.5337837837837</v>
      </c>
      <c r="C12" s="6">
        <v>213.3581081081081</v>
      </c>
      <c r="D12" s="6">
        <v>307.41891891891891</v>
      </c>
      <c r="E12" s="6">
        <v>41479.385135135133</v>
      </c>
      <c r="F12" s="35">
        <f t="shared" ref="F12:F13" si="1">(B12+C12+D12)/E12*100</f>
        <v>8.5905584164325184</v>
      </c>
    </row>
    <row r="13" spans="1:6" x14ac:dyDescent="0.25">
      <c r="A13" s="4" t="s">
        <v>12</v>
      </c>
      <c r="B13" s="6">
        <v>3101.6984126984125</v>
      </c>
      <c r="C13" s="6">
        <v>232.87301587301587</v>
      </c>
      <c r="D13" s="6">
        <v>295.52380952380952</v>
      </c>
      <c r="E13" s="6">
        <v>44095.142857142855</v>
      </c>
      <c r="F13" s="35">
        <f t="shared" si="1"/>
        <v>8.2324151888017045</v>
      </c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32ABF-48A3-4F36-93CE-9F54AB620D88}">
  <sheetPr codeName="Sheet5"/>
  <dimension ref="A1:D13"/>
  <sheetViews>
    <sheetView workbookViewId="0">
      <selection sqref="A1:B1"/>
    </sheetView>
  </sheetViews>
  <sheetFormatPr defaultRowHeight="15" x14ac:dyDescent="0.25"/>
  <cols>
    <col min="1" max="1" width="13.7109375" bestFit="1" customWidth="1"/>
    <col min="2" max="2" width="12.42578125" bestFit="1" customWidth="1"/>
    <col min="3" max="3" width="14" bestFit="1" customWidth="1"/>
    <col min="4" max="4" width="18" bestFit="1" customWidth="1"/>
  </cols>
  <sheetData>
    <row r="1" spans="1:4" x14ac:dyDescent="0.25">
      <c r="A1" s="53" t="s">
        <v>405</v>
      </c>
      <c r="B1" s="53"/>
    </row>
    <row r="2" spans="1:4" x14ac:dyDescent="0.25">
      <c r="A2" t="s">
        <v>373</v>
      </c>
    </row>
    <row r="3" spans="1:4" x14ac:dyDescent="0.25">
      <c r="A3" s="3" t="s">
        <v>361</v>
      </c>
      <c r="B3" t="s">
        <v>363</v>
      </c>
      <c r="C3" t="s">
        <v>365</v>
      </c>
      <c r="D3" t="s">
        <v>364</v>
      </c>
    </row>
    <row r="4" spans="1:4" x14ac:dyDescent="0.25">
      <c r="A4" s="4" t="s">
        <v>48</v>
      </c>
      <c r="B4" s="1">
        <v>89871</v>
      </c>
      <c r="C4" s="1">
        <v>9086</v>
      </c>
      <c r="D4" s="1">
        <v>6826</v>
      </c>
    </row>
    <row r="5" spans="1:4" x14ac:dyDescent="0.25">
      <c r="A5" s="7" t="s">
        <v>12</v>
      </c>
      <c r="B5" s="1">
        <v>89871</v>
      </c>
      <c r="C5" s="1">
        <v>9086</v>
      </c>
      <c r="D5" s="1">
        <v>6826</v>
      </c>
    </row>
    <row r="6" spans="1:4" x14ac:dyDescent="0.25">
      <c r="A6" s="4" t="s">
        <v>51</v>
      </c>
      <c r="B6" s="1">
        <v>333918</v>
      </c>
      <c r="C6" s="1">
        <v>34487</v>
      </c>
      <c r="D6" s="1">
        <v>24098</v>
      </c>
    </row>
    <row r="7" spans="1:4" x14ac:dyDescent="0.25">
      <c r="A7" s="7" t="s">
        <v>11</v>
      </c>
      <c r="B7" s="1">
        <v>61815</v>
      </c>
      <c r="C7" s="1">
        <v>7993</v>
      </c>
      <c r="D7" s="1">
        <v>5656</v>
      </c>
    </row>
    <row r="8" spans="1:4" x14ac:dyDescent="0.25">
      <c r="A8" s="7" t="s">
        <v>17</v>
      </c>
      <c r="B8" s="1">
        <v>272103</v>
      </c>
      <c r="C8" s="1">
        <v>26494</v>
      </c>
      <c r="D8" s="1">
        <v>18442</v>
      </c>
    </row>
    <row r="9" spans="1:4" x14ac:dyDescent="0.25">
      <c r="A9" s="4" t="s">
        <v>54</v>
      </c>
      <c r="B9" s="1">
        <v>473386</v>
      </c>
      <c r="C9" s="1">
        <v>49828</v>
      </c>
      <c r="D9" s="1">
        <v>36142</v>
      </c>
    </row>
    <row r="10" spans="1:4" x14ac:dyDescent="0.25">
      <c r="A10" s="7" t="s">
        <v>11</v>
      </c>
      <c r="B10" s="1">
        <v>189658</v>
      </c>
      <c r="C10" s="1">
        <v>21292</v>
      </c>
      <c r="D10" s="1">
        <v>15162</v>
      </c>
    </row>
    <row r="11" spans="1:4" x14ac:dyDescent="0.25">
      <c r="A11" s="7" t="s">
        <v>17</v>
      </c>
      <c r="B11" s="1">
        <v>178192</v>
      </c>
      <c r="C11" s="1">
        <v>19004</v>
      </c>
      <c r="D11" s="1">
        <v>13135</v>
      </c>
    </row>
    <row r="12" spans="1:4" x14ac:dyDescent="0.25">
      <c r="A12" s="7" t="s">
        <v>12</v>
      </c>
      <c r="B12" s="1">
        <v>105536</v>
      </c>
      <c r="C12" s="1">
        <v>9532</v>
      </c>
      <c r="D12" s="1">
        <v>7845</v>
      </c>
    </row>
    <row r="13" spans="1:4" x14ac:dyDescent="0.25">
      <c r="A13" s="4" t="s">
        <v>362</v>
      </c>
      <c r="B13" s="1">
        <v>897175</v>
      </c>
      <c r="C13" s="1">
        <v>93401</v>
      </c>
      <c r="D13" s="1">
        <v>67066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85024-44F3-44B8-96CA-9126D9004612}">
  <sheetPr codeName="Sheet6"/>
  <dimension ref="A1:B131"/>
  <sheetViews>
    <sheetView workbookViewId="0">
      <selection sqref="A1:B1"/>
    </sheetView>
  </sheetViews>
  <sheetFormatPr defaultRowHeight="15" x14ac:dyDescent="0.25"/>
  <cols>
    <col min="1" max="1" width="39.5703125" bestFit="1" customWidth="1"/>
    <col min="2" max="2" width="16.5703125" bestFit="1" customWidth="1"/>
  </cols>
  <sheetData>
    <row r="1" spans="1:2" x14ac:dyDescent="0.25">
      <c r="A1" s="53" t="s">
        <v>405</v>
      </c>
      <c r="B1" s="53"/>
    </row>
    <row r="2" spans="1:2" x14ac:dyDescent="0.25">
      <c r="A2" t="s">
        <v>375</v>
      </c>
    </row>
    <row r="3" spans="1:2" x14ac:dyDescent="0.25">
      <c r="A3" s="3" t="s">
        <v>361</v>
      </c>
      <c r="B3" t="s">
        <v>374</v>
      </c>
    </row>
    <row r="4" spans="1:2" x14ac:dyDescent="0.25">
      <c r="A4" s="4" t="s">
        <v>69</v>
      </c>
      <c r="B4" s="6">
        <v>188.14285714285714</v>
      </c>
    </row>
    <row r="5" spans="1:2" x14ac:dyDescent="0.25">
      <c r="A5" s="7" t="s">
        <v>26</v>
      </c>
      <c r="B5" s="6">
        <v>217.38461538461539</v>
      </c>
    </row>
    <row r="6" spans="1:2" x14ac:dyDescent="0.25">
      <c r="A6" s="9" t="s">
        <v>14</v>
      </c>
      <c r="B6" s="6">
        <v>243.66666666666666</v>
      </c>
    </row>
    <row r="7" spans="1:2" x14ac:dyDescent="0.25">
      <c r="A7" s="9" t="s">
        <v>22</v>
      </c>
      <c r="B7" s="6">
        <v>255</v>
      </c>
    </row>
    <row r="8" spans="1:2" x14ac:dyDescent="0.25">
      <c r="A8" s="9" t="s">
        <v>13</v>
      </c>
      <c r="B8" s="6">
        <v>181</v>
      </c>
    </row>
    <row r="9" spans="1:2" x14ac:dyDescent="0.25">
      <c r="A9" s="9" t="s">
        <v>57</v>
      </c>
      <c r="B9" s="6">
        <v>203.83333333333334</v>
      </c>
    </row>
    <row r="10" spans="1:2" x14ac:dyDescent="0.25">
      <c r="A10" s="7" t="s">
        <v>14</v>
      </c>
      <c r="B10" s="6">
        <v>176.66666666666666</v>
      </c>
    </row>
    <row r="11" spans="1:2" x14ac:dyDescent="0.25">
      <c r="A11" s="9" t="s">
        <v>18</v>
      </c>
      <c r="B11" s="6">
        <v>176.66666666666666</v>
      </c>
    </row>
    <row r="12" spans="1:2" x14ac:dyDescent="0.25">
      <c r="A12" s="7" t="s">
        <v>18</v>
      </c>
      <c r="B12" s="6">
        <v>194.71428571428572</v>
      </c>
    </row>
    <row r="13" spans="1:2" x14ac:dyDescent="0.25">
      <c r="A13" s="9" t="s">
        <v>57</v>
      </c>
      <c r="B13" s="6">
        <v>194.71428571428572</v>
      </c>
    </row>
    <row r="14" spans="1:2" x14ac:dyDescent="0.25">
      <c r="A14" s="7" t="s">
        <v>22</v>
      </c>
      <c r="B14" s="6">
        <v>109.8</v>
      </c>
    </row>
    <row r="15" spans="1:2" x14ac:dyDescent="0.25">
      <c r="A15" s="9" t="s">
        <v>18</v>
      </c>
      <c r="B15" s="6">
        <v>115.25</v>
      </c>
    </row>
    <row r="16" spans="1:2" x14ac:dyDescent="0.25">
      <c r="A16" s="9" t="s">
        <v>57</v>
      </c>
      <c r="B16" s="6">
        <v>88</v>
      </c>
    </row>
    <row r="17" spans="1:2" x14ac:dyDescent="0.25">
      <c r="A17" s="4" t="s">
        <v>49</v>
      </c>
      <c r="B17" s="6">
        <v>183.07894736842104</v>
      </c>
    </row>
    <row r="18" spans="1:2" x14ac:dyDescent="0.25">
      <c r="A18" s="7" t="s">
        <v>26</v>
      </c>
      <c r="B18" s="6">
        <v>196.76470588235293</v>
      </c>
    </row>
    <row r="19" spans="1:2" x14ac:dyDescent="0.25">
      <c r="A19" s="9" t="s">
        <v>14</v>
      </c>
      <c r="B19" s="6">
        <v>203.8</v>
      </c>
    </row>
    <row r="20" spans="1:2" x14ac:dyDescent="0.25">
      <c r="A20" s="9" t="s">
        <v>22</v>
      </c>
      <c r="B20" s="6">
        <v>172</v>
      </c>
    </row>
    <row r="21" spans="1:2" x14ac:dyDescent="0.25">
      <c r="A21" s="9" t="s">
        <v>13</v>
      </c>
      <c r="B21" s="6">
        <v>241.5</v>
      </c>
    </row>
    <row r="22" spans="1:2" x14ac:dyDescent="0.25">
      <c r="A22" s="9" t="s">
        <v>57</v>
      </c>
      <c r="B22" s="6">
        <v>202.75</v>
      </c>
    </row>
    <row r="23" spans="1:2" x14ac:dyDescent="0.25">
      <c r="A23" s="7" t="s">
        <v>14</v>
      </c>
      <c r="B23" s="6">
        <v>161.125</v>
      </c>
    </row>
    <row r="24" spans="1:2" x14ac:dyDescent="0.25">
      <c r="A24" s="9" t="s">
        <v>18</v>
      </c>
      <c r="B24" s="6">
        <v>161.125</v>
      </c>
    </row>
    <row r="25" spans="1:2" x14ac:dyDescent="0.25">
      <c r="A25" s="7" t="s">
        <v>18</v>
      </c>
      <c r="B25" s="6">
        <v>192.25</v>
      </c>
    </row>
    <row r="26" spans="1:2" x14ac:dyDescent="0.25">
      <c r="A26" s="9" t="s">
        <v>57</v>
      </c>
      <c r="B26" s="6">
        <v>192.25</v>
      </c>
    </row>
    <row r="27" spans="1:2" x14ac:dyDescent="0.25">
      <c r="A27" s="7" t="s">
        <v>22</v>
      </c>
      <c r="B27" s="6">
        <v>172.66666666666666</v>
      </c>
    </row>
    <row r="28" spans="1:2" x14ac:dyDescent="0.25">
      <c r="A28" s="9" t="s">
        <v>18</v>
      </c>
      <c r="B28" s="6">
        <v>205.33333333333334</v>
      </c>
    </row>
    <row r="29" spans="1:2" x14ac:dyDescent="0.25">
      <c r="A29" s="9" t="s">
        <v>57</v>
      </c>
      <c r="B29" s="6">
        <v>156.33333333333334</v>
      </c>
    </row>
    <row r="30" spans="1:2" x14ac:dyDescent="0.25">
      <c r="A30" s="4" t="s">
        <v>71</v>
      </c>
      <c r="B30" s="6">
        <v>187.41176470588235</v>
      </c>
    </row>
    <row r="31" spans="1:2" x14ac:dyDescent="0.25">
      <c r="A31" s="7" t="s">
        <v>26</v>
      </c>
      <c r="B31" s="6">
        <v>171.52941176470588</v>
      </c>
    </row>
    <row r="32" spans="1:2" x14ac:dyDescent="0.25">
      <c r="A32" s="9" t="s">
        <v>14</v>
      </c>
      <c r="B32" s="6">
        <v>131.33333333333334</v>
      </c>
    </row>
    <row r="33" spans="1:2" x14ac:dyDescent="0.25">
      <c r="A33" s="9" t="s">
        <v>22</v>
      </c>
      <c r="B33" s="6">
        <v>199.4</v>
      </c>
    </row>
    <row r="34" spans="1:2" x14ac:dyDescent="0.25">
      <c r="A34" s="9" t="s">
        <v>13</v>
      </c>
      <c r="B34" s="6">
        <v>176.6</v>
      </c>
    </row>
    <row r="35" spans="1:2" x14ac:dyDescent="0.25">
      <c r="A35" s="9" t="s">
        <v>57</v>
      </c>
      <c r="B35" s="6">
        <v>160.5</v>
      </c>
    </row>
    <row r="36" spans="1:2" x14ac:dyDescent="0.25">
      <c r="A36" s="7" t="s">
        <v>18</v>
      </c>
      <c r="B36" s="6">
        <v>199.88888888888889</v>
      </c>
    </row>
    <row r="37" spans="1:2" x14ac:dyDescent="0.25">
      <c r="A37" s="9" t="s">
        <v>57</v>
      </c>
      <c r="B37" s="6">
        <v>199.88888888888889</v>
      </c>
    </row>
    <row r="38" spans="1:2" x14ac:dyDescent="0.25">
      <c r="A38" s="7" t="s">
        <v>22</v>
      </c>
      <c r="B38" s="6">
        <v>207.125</v>
      </c>
    </row>
    <row r="39" spans="1:2" x14ac:dyDescent="0.25">
      <c r="A39" s="9" t="s">
        <v>18</v>
      </c>
      <c r="B39" s="6">
        <v>161.66666666666666</v>
      </c>
    </row>
    <row r="40" spans="1:2" x14ac:dyDescent="0.25">
      <c r="A40" s="9" t="s">
        <v>57</v>
      </c>
      <c r="B40" s="6">
        <v>234.4</v>
      </c>
    </row>
    <row r="41" spans="1:2" x14ac:dyDescent="0.25">
      <c r="A41" s="4" t="s">
        <v>89</v>
      </c>
      <c r="B41" s="6">
        <v>193.66666666666666</v>
      </c>
    </row>
    <row r="42" spans="1:2" x14ac:dyDescent="0.25">
      <c r="A42" s="7" t="s">
        <v>26</v>
      </c>
      <c r="B42" s="6">
        <v>177.66666666666666</v>
      </c>
    </row>
    <row r="43" spans="1:2" x14ac:dyDescent="0.25">
      <c r="A43" s="9" t="s">
        <v>14</v>
      </c>
      <c r="B43" s="6">
        <v>145.33333333333334</v>
      </c>
    </row>
    <row r="44" spans="1:2" x14ac:dyDescent="0.25">
      <c r="A44" s="9" t="s">
        <v>22</v>
      </c>
      <c r="B44" s="6">
        <v>165.33333333333334</v>
      </c>
    </row>
    <row r="45" spans="1:2" x14ac:dyDescent="0.25">
      <c r="A45" s="9" t="s">
        <v>57</v>
      </c>
      <c r="B45" s="6">
        <v>222.33333333333334</v>
      </c>
    </row>
    <row r="46" spans="1:2" x14ac:dyDescent="0.25">
      <c r="A46" s="7" t="s">
        <v>14</v>
      </c>
      <c r="B46" s="6">
        <v>225</v>
      </c>
    </row>
    <row r="47" spans="1:2" x14ac:dyDescent="0.25">
      <c r="A47" s="9" t="s">
        <v>18</v>
      </c>
      <c r="B47" s="6">
        <v>225</v>
      </c>
    </row>
    <row r="48" spans="1:2" x14ac:dyDescent="0.25">
      <c r="A48" s="7" t="s">
        <v>18</v>
      </c>
      <c r="B48" s="6">
        <v>194.33333333333334</v>
      </c>
    </row>
    <row r="49" spans="1:2" x14ac:dyDescent="0.25">
      <c r="A49" s="9" t="s">
        <v>57</v>
      </c>
      <c r="B49" s="6">
        <v>194.33333333333334</v>
      </c>
    </row>
    <row r="50" spans="1:2" x14ac:dyDescent="0.25">
      <c r="A50" s="7" t="s">
        <v>22</v>
      </c>
      <c r="B50" s="6">
        <v>213</v>
      </c>
    </row>
    <row r="51" spans="1:2" x14ac:dyDescent="0.25">
      <c r="A51" s="9" t="s">
        <v>18</v>
      </c>
      <c r="B51" s="6">
        <v>222.66666666666666</v>
      </c>
    </row>
    <row r="52" spans="1:2" x14ac:dyDescent="0.25">
      <c r="A52" s="9" t="s">
        <v>57</v>
      </c>
      <c r="B52" s="6">
        <v>184</v>
      </c>
    </row>
    <row r="53" spans="1:2" x14ac:dyDescent="0.25">
      <c r="A53" s="4" t="s">
        <v>76</v>
      </c>
      <c r="B53" s="6">
        <v>200.66666666666666</v>
      </c>
    </row>
    <row r="54" spans="1:2" x14ac:dyDescent="0.25">
      <c r="A54" s="7" t="s">
        <v>26</v>
      </c>
      <c r="B54" s="6">
        <v>203.46153846153845</v>
      </c>
    </row>
    <row r="55" spans="1:2" x14ac:dyDescent="0.25">
      <c r="A55" s="9" t="s">
        <v>14</v>
      </c>
      <c r="B55" s="6">
        <v>187.5</v>
      </c>
    </row>
    <row r="56" spans="1:2" x14ac:dyDescent="0.25">
      <c r="A56" s="9" t="s">
        <v>22</v>
      </c>
      <c r="B56" s="6">
        <v>172.33333333333334</v>
      </c>
    </row>
    <row r="57" spans="1:2" x14ac:dyDescent="0.25">
      <c r="A57" s="9" t="s">
        <v>13</v>
      </c>
      <c r="B57" s="6">
        <v>216.6</v>
      </c>
    </row>
    <row r="58" spans="1:2" x14ac:dyDescent="0.25">
      <c r="A58" s="9" t="s">
        <v>57</v>
      </c>
      <c r="B58" s="6">
        <v>295</v>
      </c>
    </row>
    <row r="59" spans="1:2" x14ac:dyDescent="0.25">
      <c r="A59" s="7" t="s">
        <v>14</v>
      </c>
      <c r="B59" s="6">
        <v>229</v>
      </c>
    </row>
    <row r="60" spans="1:2" x14ac:dyDescent="0.25">
      <c r="A60" s="9" t="s">
        <v>18</v>
      </c>
      <c r="B60" s="6">
        <v>229</v>
      </c>
    </row>
    <row r="61" spans="1:2" x14ac:dyDescent="0.25">
      <c r="A61" s="7" t="s">
        <v>18</v>
      </c>
      <c r="B61" s="6">
        <v>235.33333333333334</v>
      </c>
    </row>
    <row r="62" spans="1:2" x14ac:dyDescent="0.25">
      <c r="A62" s="9" t="s">
        <v>57</v>
      </c>
      <c r="B62" s="6">
        <v>235.33333333333334</v>
      </c>
    </row>
    <row r="63" spans="1:2" x14ac:dyDescent="0.25">
      <c r="A63" s="7" t="s">
        <v>22</v>
      </c>
      <c r="B63" s="6">
        <v>184.25</v>
      </c>
    </row>
    <row r="64" spans="1:2" x14ac:dyDescent="0.25">
      <c r="A64" s="9" t="s">
        <v>18</v>
      </c>
      <c r="B64" s="6">
        <v>196.125</v>
      </c>
    </row>
    <row r="65" spans="1:2" x14ac:dyDescent="0.25">
      <c r="A65" s="9" t="s">
        <v>57</v>
      </c>
      <c r="B65" s="6">
        <v>160.5</v>
      </c>
    </row>
    <row r="66" spans="1:2" x14ac:dyDescent="0.25">
      <c r="A66" s="4" t="s">
        <v>64</v>
      </c>
      <c r="B66" s="6">
        <v>217.97435897435898</v>
      </c>
    </row>
    <row r="67" spans="1:2" x14ac:dyDescent="0.25">
      <c r="A67" s="7" t="s">
        <v>26</v>
      </c>
      <c r="B67" s="6">
        <v>222.92307692307693</v>
      </c>
    </row>
    <row r="68" spans="1:2" x14ac:dyDescent="0.25">
      <c r="A68" s="9" t="s">
        <v>14</v>
      </c>
      <c r="B68" s="6">
        <v>244.5</v>
      </c>
    </row>
    <row r="69" spans="1:2" x14ac:dyDescent="0.25">
      <c r="A69" s="9" t="s">
        <v>22</v>
      </c>
      <c r="B69" s="6">
        <v>173.5</v>
      </c>
    </row>
    <row r="70" spans="1:2" x14ac:dyDescent="0.25">
      <c r="A70" s="9" t="s">
        <v>13</v>
      </c>
      <c r="B70" s="6">
        <v>216</v>
      </c>
    </row>
    <row r="71" spans="1:2" x14ac:dyDescent="0.25">
      <c r="A71" s="9" t="s">
        <v>57</v>
      </c>
      <c r="B71" s="6">
        <v>236.33333333333334</v>
      </c>
    </row>
    <row r="72" spans="1:2" x14ac:dyDescent="0.25">
      <c r="A72" s="7" t="s">
        <v>14</v>
      </c>
      <c r="B72" s="6">
        <v>193.16666666666666</v>
      </c>
    </row>
    <row r="73" spans="1:2" x14ac:dyDescent="0.25">
      <c r="A73" s="9" t="s">
        <v>18</v>
      </c>
      <c r="B73" s="6">
        <v>193.16666666666666</v>
      </c>
    </row>
    <row r="74" spans="1:2" x14ac:dyDescent="0.25">
      <c r="A74" s="7" t="s">
        <v>18</v>
      </c>
      <c r="B74" s="6">
        <v>197.125</v>
      </c>
    </row>
    <row r="75" spans="1:2" x14ac:dyDescent="0.25">
      <c r="A75" s="9" t="s">
        <v>57</v>
      </c>
      <c r="B75" s="6">
        <v>197.125</v>
      </c>
    </row>
    <row r="76" spans="1:2" x14ac:dyDescent="0.25">
      <c r="A76" s="7" t="s">
        <v>22</v>
      </c>
      <c r="B76" s="6">
        <v>238.91666666666666</v>
      </c>
    </row>
    <row r="77" spans="1:2" x14ac:dyDescent="0.25">
      <c r="A77" s="9" t="s">
        <v>18</v>
      </c>
      <c r="B77" s="6">
        <v>244.11111111111111</v>
      </c>
    </row>
    <row r="78" spans="1:2" x14ac:dyDescent="0.25">
      <c r="A78" s="9" t="s">
        <v>57</v>
      </c>
      <c r="B78" s="6">
        <v>223.33333333333334</v>
      </c>
    </row>
    <row r="79" spans="1:2" x14ac:dyDescent="0.25">
      <c r="A79" s="4" t="s">
        <v>55</v>
      </c>
      <c r="B79" s="6">
        <v>196.34615384615384</v>
      </c>
    </row>
    <row r="80" spans="1:2" x14ac:dyDescent="0.25">
      <c r="A80" s="7" t="s">
        <v>26</v>
      </c>
      <c r="B80" s="6">
        <v>215.1</v>
      </c>
    </row>
    <row r="81" spans="1:2" x14ac:dyDescent="0.25">
      <c r="A81" s="9" t="s">
        <v>14</v>
      </c>
      <c r="B81" s="6">
        <v>181</v>
      </c>
    </row>
    <row r="82" spans="1:2" x14ac:dyDescent="0.25">
      <c r="A82" s="9" t="s">
        <v>22</v>
      </c>
      <c r="B82" s="6">
        <v>293</v>
      </c>
    </row>
    <row r="83" spans="1:2" x14ac:dyDescent="0.25">
      <c r="A83" s="9" t="s">
        <v>13</v>
      </c>
      <c r="B83" s="6">
        <v>204.25</v>
      </c>
    </row>
    <row r="84" spans="1:2" x14ac:dyDescent="0.25">
      <c r="A84" s="9" t="s">
        <v>57</v>
      </c>
      <c r="B84" s="6">
        <v>226.33333333333334</v>
      </c>
    </row>
    <row r="85" spans="1:2" x14ac:dyDescent="0.25">
      <c r="A85" s="7" t="s">
        <v>14</v>
      </c>
      <c r="B85" s="6">
        <v>277</v>
      </c>
    </row>
    <row r="86" spans="1:2" x14ac:dyDescent="0.25">
      <c r="A86" s="9" t="s">
        <v>18</v>
      </c>
      <c r="B86" s="6">
        <v>277</v>
      </c>
    </row>
    <row r="87" spans="1:2" x14ac:dyDescent="0.25">
      <c r="A87" s="7" t="s">
        <v>18</v>
      </c>
      <c r="B87" s="6">
        <v>157.4</v>
      </c>
    </row>
    <row r="88" spans="1:2" x14ac:dyDescent="0.25">
      <c r="A88" s="9" t="s">
        <v>57</v>
      </c>
      <c r="B88" s="6">
        <v>157.4</v>
      </c>
    </row>
    <row r="89" spans="1:2" x14ac:dyDescent="0.25">
      <c r="A89" s="7" t="s">
        <v>22</v>
      </c>
      <c r="B89" s="6">
        <v>189</v>
      </c>
    </row>
    <row r="90" spans="1:2" x14ac:dyDescent="0.25">
      <c r="A90" s="9" t="s">
        <v>18</v>
      </c>
      <c r="B90" s="6">
        <v>178.22222222222223</v>
      </c>
    </row>
    <row r="91" spans="1:2" x14ac:dyDescent="0.25">
      <c r="A91" s="9" t="s">
        <v>57</v>
      </c>
      <c r="B91" s="6">
        <v>286</v>
      </c>
    </row>
    <row r="92" spans="1:2" x14ac:dyDescent="0.25">
      <c r="A92" s="4" t="s">
        <v>52</v>
      </c>
      <c r="B92" s="6">
        <v>176.75</v>
      </c>
    </row>
    <row r="93" spans="1:2" x14ac:dyDescent="0.25">
      <c r="A93" s="7" t="s">
        <v>26</v>
      </c>
      <c r="B93" s="6">
        <v>177.5</v>
      </c>
    </row>
    <row r="94" spans="1:2" x14ac:dyDescent="0.25">
      <c r="A94" s="9" t="s">
        <v>14</v>
      </c>
      <c r="B94" s="6">
        <v>179.75</v>
      </c>
    </row>
    <row r="95" spans="1:2" x14ac:dyDescent="0.25">
      <c r="A95" s="9" t="s">
        <v>22</v>
      </c>
      <c r="B95" s="6">
        <v>165.5</v>
      </c>
    </row>
    <row r="96" spans="1:2" x14ac:dyDescent="0.25">
      <c r="A96" s="9" t="s">
        <v>13</v>
      </c>
      <c r="B96" s="6">
        <v>233.66666666666666</v>
      </c>
    </row>
    <row r="97" spans="1:2" x14ac:dyDescent="0.25">
      <c r="A97" s="9" t="s">
        <v>57</v>
      </c>
      <c r="B97" s="6">
        <v>126.33333333333333</v>
      </c>
    </row>
    <row r="98" spans="1:2" x14ac:dyDescent="0.25">
      <c r="A98" s="7" t="s">
        <v>14</v>
      </c>
      <c r="B98" s="6">
        <v>100</v>
      </c>
    </row>
    <row r="99" spans="1:2" x14ac:dyDescent="0.25">
      <c r="A99" s="9" t="s">
        <v>18</v>
      </c>
      <c r="B99" s="6">
        <v>100</v>
      </c>
    </row>
    <row r="100" spans="1:2" x14ac:dyDescent="0.25">
      <c r="A100" s="7" t="s">
        <v>18</v>
      </c>
      <c r="B100" s="6">
        <v>159.16666666666666</v>
      </c>
    </row>
    <row r="101" spans="1:2" x14ac:dyDescent="0.25">
      <c r="A101" s="9" t="s">
        <v>57</v>
      </c>
      <c r="B101" s="6">
        <v>159.16666666666666</v>
      </c>
    </row>
    <row r="102" spans="1:2" x14ac:dyDescent="0.25">
      <c r="A102" s="7" t="s">
        <v>22</v>
      </c>
      <c r="B102" s="6">
        <v>208</v>
      </c>
    </row>
    <row r="103" spans="1:2" x14ac:dyDescent="0.25">
      <c r="A103" s="9" t="s">
        <v>18</v>
      </c>
      <c r="B103" s="6">
        <v>199.2</v>
      </c>
    </row>
    <row r="104" spans="1:2" x14ac:dyDescent="0.25">
      <c r="A104" s="9" t="s">
        <v>57</v>
      </c>
      <c r="B104" s="6">
        <v>222.66666666666666</v>
      </c>
    </row>
    <row r="105" spans="1:2" x14ac:dyDescent="0.25">
      <c r="A105" s="4" t="s">
        <v>61</v>
      </c>
      <c r="B105" s="6">
        <v>191.61764705882354</v>
      </c>
    </row>
    <row r="106" spans="1:2" x14ac:dyDescent="0.25">
      <c r="A106" s="7" t="s">
        <v>26</v>
      </c>
      <c r="B106" s="6">
        <v>212.66666666666666</v>
      </c>
    </row>
    <row r="107" spans="1:2" x14ac:dyDescent="0.25">
      <c r="A107" s="9" t="s">
        <v>14</v>
      </c>
      <c r="B107" s="6">
        <v>199.75</v>
      </c>
    </row>
    <row r="108" spans="1:2" x14ac:dyDescent="0.25">
      <c r="A108" s="9" t="s">
        <v>22</v>
      </c>
      <c r="B108" s="6">
        <v>220.33333333333334</v>
      </c>
    </row>
    <row r="109" spans="1:2" x14ac:dyDescent="0.25">
      <c r="A109" s="9" t="s">
        <v>13</v>
      </c>
      <c r="B109" s="6">
        <v>260.25</v>
      </c>
    </row>
    <row r="110" spans="1:2" x14ac:dyDescent="0.25">
      <c r="A110" s="9" t="s">
        <v>57</v>
      </c>
      <c r="B110" s="6">
        <v>172.25</v>
      </c>
    </row>
    <row r="111" spans="1:2" x14ac:dyDescent="0.25">
      <c r="A111" s="7" t="s">
        <v>14</v>
      </c>
      <c r="B111" s="6">
        <v>137.4</v>
      </c>
    </row>
    <row r="112" spans="1:2" x14ac:dyDescent="0.25">
      <c r="A112" s="9" t="s">
        <v>18</v>
      </c>
      <c r="B112" s="6">
        <v>137.4</v>
      </c>
    </row>
    <row r="113" spans="1:2" x14ac:dyDescent="0.25">
      <c r="A113" s="7" t="s">
        <v>18</v>
      </c>
      <c r="B113" s="6">
        <v>202.8</v>
      </c>
    </row>
    <row r="114" spans="1:2" x14ac:dyDescent="0.25">
      <c r="A114" s="9" t="s">
        <v>57</v>
      </c>
      <c r="B114" s="6">
        <v>202.8</v>
      </c>
    </row>
    <row r="115" spans="1:2" x14ac:dyDescent="0.25">
      <c r="A115" s="7" t="s">
        <v>22</v>
      </c>
      <c r="B115" s="6">
        <v>180.44444444444446</v>
      </c>
    </row>
    <row r="116" spans="1:2" x14ac:dyDescent="0.25">
      <c r="A116" s="9" t="s">
        <v>18</v>
      </c>
      <c r="B116" s="6">
        <v>173.42857142857142</v>
      </c>
    </row>
    <row r="117" spans="1:2" x14ac:dyDescent="0.25">
      <c r="A117" s="9" t="s">
        <v>57</v>
      </c>
      <c r="B117" s="6">
        <v>205</v>
      </c>
    </row>
    <row r="118" spans="1:2" x14ac:dyDescent="0.25">
      <c r="A118" s="4" t="s">
        <v>74</v>
      </c>
      <c r="B118" s="6">
        <v>174.63636363636363</v>
      </c>
    </row>
    <row r="119" spans="1:2" x14ac:dyDescent="0.25">
      <c r="A119" s="7" t="s">
        <v>26</v>
      </c>
      <c r="B119" s="6">
        <v>175.63636363636363</v>
      </c>
    </row>
    <row r="120" spans="1:2" x14ac:dyDescent="0.25">
      <c r="A120" s="9" t="s">
        <v>14</v>
      </c>
      <c r="B120" s="6">
        <v>216.5</v>
      </c>
    </row>
    <row r="121" spans="1:2" x14ac:dyDescent="0.25">
      <c r="A121" s="9" t="s">
        <v>22</v>
      </c>
      <c r="B121" s="6">
        <v>186.5</v>
      </c>
    </row>
    <row r="122" spans="1:2" x14ac:dyDescent="0.25">
      <c r="A122" s="9" t="s">
        <v>13</v>
      </c>
      <c r="B122" s="6">
        <v>170.8</v>
      </c>
    </row>
    <row r="123" spans="1:2" x14ac:dyDescent="0.25">
      <c r="A123" s="9" t="s">
        <v>57</v>
      </c>
      <c r="B123" s="6">
        <v>136</v>
      </c>
    </row>
    <row r="124" spans="1:2" x14ac:dyDescent="0.25">
      <c r="A124" s="7" t="s">
        <v>14</v>
      </c>
      <c r="B124" s="6">
        <v>155.5</v>
      </c>
    </row>
    <row r="125" spans="1:2" x14ac:dyDescent="0.25">
      <c r="A125" s="9" t="s">
        <v>18</v>
      </c>
      <c r="B125" s="6">
        <v>155.5</v>
      </c>
    </row>
    <row r="126" spans="1:2" x14ac:dyDescent="0.25">
      <c r="A126" s="7" t="s">
        <v>18</v>
      </c>
      <c r="B126" s="6">
        <v>183.75</v>
      </c>
    </row>
    <row r="127" spans="1:2" x14ac:dyDescent="0.25">
      <c r="A127" s="9" t="s">
        <v>57</v>
      </c>
      <c r="B127" s="6">
        <v>183.75</v>
      </c>
    </row>
    <row r="128" spans="1:2" x14ac:dyDescent="0.25">
      <c r="A128" s="7" t="s">
        <v>22</v>
      </c>
      <c r="B128" s="6">
        <v>184.33333333333334</v>
      </c>
    </row>
    <row r="129" spans="1:2" x14ac:dyDescent="0.25">
      <c r="A129" s="9" t="s">
        <v>18</v>
      </c>
      <c r="B129" s="6">
        <v>174</v>
      </c>
    </row>
    <row r="130" spans="1:2" x14ac:dyDescent="0.25">
      <c r="A130" s="9" t="s">
        <v>57</v>
      </c>
      <c r="B130" s="6">
        <v>205</v>
      </c>
    </row>
    <row r="131" spans="1:2" x14ac:dyDescent="0.25">
      <c r="A131" s="4" t="s">
        <v>362</v>
      </c>
      <c r="B131" s="6">
        <v>191.98666666666668</v>
      </c>
    </row>
  </sheetData>
  <mergeCells count="1">
    <mergeCell ref="A1:B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4EA7B-D035-48AE-B8A6-85B5F70E5A50}">
  <sheetPr codeName="Sheet7"/>
  <dimension ref="A1:D10"/>
  <sheetViews>
    <sheetView workbookViewId="0">
      <selection sqref="A1:B1"/>
    </sheetView>
  </sheetViews>
  <sheetFormatPr defaultRowHeight="15" x14ac:dyDescent="0.25"/>
  <cols>
    <col min="1" max="1" width="13.42578125" bestFit="1" customWidth="1"/>
    <col min="2" max="2" width="24.28515625" bestFit="1" customWidth="1"/>
    <col min="3" max="3" width="27.5703125" bestFit="1" customWidth="1"/>
    <col min="4" max="5" width="23.5703125" bestFit="1" customWidth="1"/>
  </cols>
  <sheetData>
    <row r="1" spans="1:4" x14ac:dyDescent="0.25">
      <c r="A1" s="53" t="s">
        <v>406</v>
      </c>
      <c r="B1" s="53"/>
    </row>
    <row r="2" spans="1:4" x14ac:dyDescent="0.25">
      <c r="A2" s="54" t="s">
        <v>381</v>
      </c>
      <c r="B2" s="54"/>
      <c r="C2" s="54"/>
    </row>
    <row r="3" spans="1:4" x14ac:dyDescent="0.25">
      <c r="A3" s="54" t="s">
        <v>382</v>
      </c>
      <c r="B3" s="54"/>
    </row>
    <row r="4" spans="1:4" x14ac:dyDescent="0.25">
      <c r="A4" s="3" t="s">
        <v>361</v>
      </c>
      <c r="B4" t="s">
        <v>380</v>
      </c>
      <c r="C4" t="s">
        <v>384</v>
      </c>
    </row>
    <row r="5" spans="1:4" x14ac:dyDescent="0.25">
      <c r="A5" s="4" t="s">
        <v>11</v>
      </c>
      <c r="B5" s="1">
        <v>432.70000000000016</v>
      </c>
      <c r="C5" s="1">
        <v>6.4582089552238831</v>
      </c>
    </row>
    <row r="6" spans="1:4" x14ac:dyDescent="0.25">
      <c r="A6" s="11" t="s">
        <v>17</v>
      </c>
      <c r="B6" s="11">
        <v>461.34</v>
      </c>
      <c r="C6" s="11">
        <v>6.8856716417910446</v>
      </c>
    </row>
    <row r="7" spans="1:4" x14ac:dyDescent="0.25">
      <c r="A7" s="4" t="s">
        <v>12</v>
      </c>
      <c r="B7" s="1">
        <v>443.44999999999993</v>
      </c>
      <c r="C7" s="1">
        <v>6.7189393939393929</v>
      </c>
    </row>
    <row r="8" spans="1:4" x14ac:dyDescent="0.25">
      <c r="A8" s="4" t="s">
        <v>362</v>
      </c>
      <c r="B8" s="1">
        <v>1337.4899999999996</v>
      </c>
      <c r="C8" s="1">
        <v>6.6874499999999975</v>
      </c>
    </row>
    <row r="10" spans="1:4" x14ac:dyDescent="0.25">
      <c r="A10" s="53" t="s">
        <v>385</v>
      </c>
      <c r="B10" s="53"/>
      <c r="C10" s="53"/>
      <c r="D10" s="53"/>
    </row>
  </sheetData>
  <mergeCells count="4">
    <mergeCell ref="A10:D10"/>
    <mergeCell ref="A2:C2"/>
    <mergeCell ref="A3:B3"/>
    <mergeCell ref="A1: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F822-5DCC-4054-842F-7DC9958BA8D2}">
  <sheetPr codeName="Sheet8"/>
  <dimension ref="A1:H277"/>
  <sheetViews>
    <sheetView topLeftCell="A262" zoomScaleNormal="100" workbookViewId="0">
      <selection activeCell="D5" sqref="D5"/>
    </sheetView>
  </sheetViews>
  <sheetFormatPr defaultRowHeight="15" x14ac:dyDescent="0.25"/>
  <cols>
    <col min="1" max="1" width="13.7109375" bestFit="1" customWidth="1"/>
    <col min="2" max="2" width="21.7109375" bestFit="1" customWidth="1"/>
    <col min="3" max="3" width="16.85546875" bestFit="1" customWidth="1"/>
    <col min="4" max="4" width="23.28515625" bestFit="1" customWidth="1"/>
  </cols>
  <sheetData>
    <row r="1" spans="1:8" x14ac:dyDescent="0.25">
      <c r="A1" s="53" t="s">
        <v>406</v>
      </c>
      <c r="B1" s="53"/>
    </row>
    <row r="2" spans="1:8" x14ac:dyDescent="0.25">
      <c r="A2" s="55" t="s">
        <v>523</v>
      </c>
      <c r="B2" s="55"/>
      <c r="C2" s="55"/>
      <c r="D2" s="55"/>
      <c r="E2" s="55"/>
      <c r="F2" s="55"/>
      <c r="G2" s="55"/>
    </row>
    <row r="3" spans="1:8" x14ac:dyDescent="0.25">
      <c r="A3" s="3" t="s">
        <v>361</v>
      </c>
      <c r="B3" t="s">
        <v>386</v>
      </c>
      <c r="C3" t="s">
        <v>387</v>
      </c>
      <c r="D3" s="5" t="s">
        <v>388</v>
      </c>
    </row>
    <row r="4" spans="1:8" x14ac:dyDescent="0.25">
      <c r="A4" s="12">
        <v>45446</v>
      </c>
      <c r="B4" s="1">
        <v>3869</v>
      </c>
      <c r="C4" s="1">
        <v>450</v>
      </c>
      <c r="D4" s="13">
        <f>B4-C4</f>
        <v>3419</v>
      </c>
    </row>
    <row r="5" spans="1:8" x14ac:dyDescent="0.25">
      <c r="A5" s="7" t="s">
        <v>11</v>
      </c>
      <c r="B5" s="1">
        <v>1402</v>
      </c>
      <c r="C5" s="1">
        <v>68</v>
      </c>
      <c r="D5">
        <f>B5-C5</f>
        <v>1334</v>
      </c>
    </row>
    <row r="6" spans="1:8" x14ac:dyDescent="0.25">
      <c r="A6" s="7" t="s">
        <v>17</v>
      </c>
      <c r="B6" s="1">
        <v>995</v>
      </c>
      <c r="C6" s="1">
        <v>86</v>
      </c>
      <c r="D6">
        <f t="shared" ref="D6:D69" si="0">B6-C6</f>
        <v>909</v>
      </c>
      <c r="E6" s="54" t="str" cm="1">
        <f t="array" ref="E6">_xlfn.IFS(AND(D5&gt;D6,D5&gt;D7),"Instagram has gained Highest Followers",AND(D6&gt;D5,D6&gt;D7),"Twitter has gained Highest Followers",AND(D7&gt;D5,D7&gt;D6),"Youtube has gained Highest Followers")</f>
        <v>Instagram has gained Highest Followers</v>
      </c>
      <c r="F6" s="54"/>
      <c r="G6" s="54"/>
      <c r="H6" s="54"/>
    </row>
    <row r="7" spans="1:8" x14ac:dyDescent="0.25">
      <c r="A7" s="7" t="s">
        <v>12</v>
      </c>
      <c r="B7" s="1">
        <v>1472</v>
      </c>
      <c r="C7" s="1">
        <v>296</v>
      </c>
      <c r="D7">
        <f t="shared" si="0"/>
        <v>1176</v>
      </c>
    </row>
    <row r="8" spans="1:8" x14ac:dyDescent="0.25">
      <c r="A8" s="12">
        <v>45453</v>
      </c>
      <c r="B8" s="1">
        <v>3024</v>
      </c>
      <c r="C8" s="1">
        <v>247</v>
      </c>
      <c r="D8" s="13">
        <f t="shared" si="0"/>
        <v>2777</v>
      </c>
    </row>
    <row r="9" spans="1:8" x14ac:dyDescent="0.25">
      <c r="A9" s="7" t="s">
        <v>11</v>
      </c>
      <c r="B9" s="1">
        <v>1018</v>
      </c>
      <c r="C9" s="1">
        <v>90</v>
      </c>
      <c r="D9">
        <f t="shared" si="0"/>
        <v>928</v>
      </c>
    </row>
    <row r="10" spans="1:8" x14ac:dyDescent="0.25">
      <c r="A10" s="7" t="s">
        <v>17</v>
      </c>
      <c r="B10" s="1">
        <v>1461</v>
      </c>
      <c r="C10" s="1">
        <v>64</v>
      </c>
      <c r="D10">
        <f t="shared" si="0"/>
        <v>1397</v>
      </c>
      <c r="E10" s="54" t="str" cm="1">
        <f t="array" ref="E10">_xlfn.IFS(AND(D9&gt;D10,D9&gt;D11),"Instagram has gained Highest Followers",AND(D10&gt;D9,D10&gt;D11),"Twitter has gained Highest Followers",AND(D11&gt;D10,D11&gt;D9),"Youtube has gained Highest Followers")</f>
        <v>Twitter has gained Highest Followers</v>
      </c>
      <c r="F10" s="54"/>
      <c r="G10" s="54"/>
      <c r="H10" s="54"/>
    </row>
    <row r="11" spans="1:8" x14ac:dyDescent="0.25">
      <c r="A11" s="7" t="s">
        <v>12</v>
      </c>
      <c r="B11" s="1">
        <v>545</v>
      </c>
      <c r="C11" s="1">
        <v>93</v>
      </c>
      <c r="D11">
        <f t="shared" si="0"/>
        <v>452</v>
      </c>
    </row>
    <row r="12" spans="1:8" x14ac:dyDescent="0.25">
      <c r="A12" s="12">
        <v>45460</v>
      </c>
      <c r="B12" s="1">
        <v>3767</v>
      </c>
      <c r="C12" s="1">
        <v>592</v>
      </c>
      <c r="D12" s="13">
        <f t="shared" si="0"/>
        <v>3175</v>
      </c>
    </row>
    <row r="13" spans="1:8" x14ac:dyDescent="0.25">
      <c r="A13" s="7" t="s">
        <v>11</v>
      </c>
      <c r="B13" s="1">
        <v>881</v>
      </c>
      <c r="C13" s="1">
        <v>291</v>
      </c>
      <c r="D13">
        <f t="shared" si="0"/>
        <v>590</v>
      </c>
    </row>
    <row r="14" spans="1:8" x14ac:dyDescent="0.25">
      <c r="A14" s="7" t="s">
        <v>17</v>
      </c>
      <c r="B14" s="1">
        <v>1414</v>
      </c>
      <c r="C14" s="1">
        <v>131</v>
      </c>
      <c r="D14">
        <f t="shared" si="0"/>
        <v>1283</v>
      </c>
      <c r="E14" s="54" t="str" cm="1">
        <f t="array" ref="E14">_xlfn.IFS(AND(D13&gt;D14,D13&gt;D15),"Instagram has gained Highest Followers",AND(D14&gt;D13,D14&gt;D15),"Twitter has gained Highest Followers",AND(D15&gt;D14,D15&gt;D13),"Youtube has gained Highest Followers")</f>
        <v>Youtube has gained Highest Followers</v>
      </c>
      <c r="F14" s="54"/>
      <c r="G14" s="54"/>
      <c r="H14" s="54"/>
    </row>
    <row r="15" spans="1:8" x14ac:dyDescent="0.25">
      <c r="A15" s="7" t="s">
        <v>12</v>
      </c>
      <c r="B15" s="1">
        <v>1472</v>
      </c>
      <c r="C15" s="1">
        <v>170</v>
      </c>
      <c r="D15">
        <f t="shared" si="0"/>
        <v>1302</v>
      </c>
    </row>
    <row r="16" spans="1:8" x14ac:dyDescent="0.25">
      <c r="A16" s="12">
        <v>45467</v>
      </c>
      <c r="B16" s="1">
        <v>3024</v>
      </c>
      <c r="C16" s="1">
        <v>591</v>
      </c>
      <c r="D16" s="13">
        <f t="shared" si="0"/>
        <v>2433</v>
      </c>
    </row>
    <row r="17" spans="1:8" x14ac:dyDescent="0.25">
      <c r="A17" s="7" t="s">
        <v>11</v>
      </c>
      <c r="B17" s="1">
        <v>809</v>
      </c>
      <c r="C17" s="1">
        <v>197</v>
      </c>
      <c r="D17">
        <f t="shared" si="0"/>
        <v>612</v>
      </c>
    </row>
    <row r="18" spans="1:8" x14ac:dyDescent="0.25">
      <c r="A18" s="7" t="s">
        <v>17</v>
      </c>
      <c r="B18" s="1">
        <v>1371</v>
      </c>
      <c r="C18" s="1">
        <v>250</v>
      </c>
      <c r="D18">
        <f t="shared" si="0"/>
        <v>1121</v>
      </c>
      <c r="E18" s="54" t="str" cm="1">
        <f t="array" ref="E18">_xlfn.IFS(AND(D17&gt;D18,D17&gt;D19),"Instagram has gained Highest Followers",AND(D18&gt;D17,D18&gt;D19),"Twitter has gained Highest Followers",AND(D19&gt;D18,D19&gt;D17),"Youtube has gained Highest Followers")</f>
        <v>Twitter has gained Highest Followers</v>
      </c>
      <c r="F18" s="54"/>
      <c r="G18" s="54"/>
      <c r="H18" s="54"/>
    </row>
    <row r="19" spans="1:8" x14ac:dyDescent="0.25">
      <c r="A19" s="7" t="s">
        <v>12</v>
      </c>
      <c r="B19" s="1">
        <v>844</v>
      </c>
      <c r="C19" s="1">
        <v>144</v>
      </c>
      <c r="D19">
        <f t="shared" si="0"/>
        <v>700</v>
      </c>
    </row>
    <row r="20" spans="1:8" x14ac:dyDescent="0.25">
      <c r="A20" s="12">
        <v>45474</v>
      </c>
      <c r="B20" s="1">
        <v>2849</v>
      </c>
      <c r="C20" s="1">
        <v>423</v>
      </c>
      <c r="D20" s="13">
        <f t="shared" si="0"/>
        <v>2426</v>
      </c>
    </row>
    <row r="21" spans="1:8" x14ac:dyDescent="0.25">
      <c r="A21" s="7" t="s">
        <v>11</v>
      </c>
      <c r="B21" s="1">
        <v>786</v>
      </c>
      <c r="C21" s="1">
        <v>72</v>
      </c>
      <c r="D21">
        <f t="shared" si="0"/>
        <v>714</v>
      </c>
    </row>
    <row r="22" spans="1:8" x14ac:dyDescent="0.25">
      <c r="A22" s="7" t="s">
        <v>17</v>
      </c>
      <c r="B22" s="1">
        <v>845</v>
      </c>
      <c r="C22" s="1">
        <v>250</v>
      </c>
      <c r="D22">
        <f t="shared" si="0"/>
        <v>595</v>
      </c>
      <c r="E22" s="54" t="str" cm="1">
        <f t="array" ref="E22">_xlfn.IFS(AND(D21&gt;D22,D21&gt;D23),"Instagram has gained Highest Followers",AND(D22&gt;D21,D22&gt;D23),"Twitter has gained Highest Followers",AND(D23&gt;D22,D23&gt;D21),"Youtube has gained Highest Followers")</f>
        <v>Youtube has gained Highest Followers</v>
      </c>
      <c r="F22" s="54"/>
      <c r="G22" s="54"/>
      <c r="H22" s="54"/>
    </row>
    <row r="23" spans="1:8" x14ac:dyDescent="0.25">
      <c r="A23" s="7" t="s">
        <v>12</v>
      </c>
      <c r="B23" s="1">
        <v>1218</v>
      </c>
      <c r="C23" s="1">
        <v>101</v>
      </c>
      <c r="D23">
        <f t="shared" si="0"/>
        <v>1117</v>
      </c>
    </row>
    <row r="24" spans="1:8" x14ac:dyDescent="0.25">
      <c r="A24" s="12">
        <v>45481</v>
      </c>
      <c r="B24" s="1">
        <v>3521</v>
      </c>
      <c r="C24" s="1">
        <v>366</v>
      </c>
      <c r="D24" s="13">
        <f t="shared" si="0"/>
        <v>3155</v>
      </c>
    </row>
    <row r="25" spans="1:8" x14ac:dyDescent="0.25">
      <c r="A25" s="7" t="s">
        <v>11</v>
      </c>
      <c r="B25" s="1">
        <v>797</v>
      </c>
      <c r="C25" s="1">
        <v>130</v>
      </c>
      <c r="D25">
        <f t="shared" si="0"/>
        <v>667</v>
      </c>
    </row>
    <row r="26" spans="1:8" x14ac:dyDescent="0.25">
      <c r="A26" s="7" t="s">
        <v>17</v>
      </c>
      <c r="B26" s="1">
        <v>1471</v>
      </c>
      <c r="C26" s="1">
        <v>100</v>
      </c>
      <c r="D26">
        <f t="shared" si="0"/>
        <v>1371</v>
      </c>
      <c r="E26" s="54" t="str" cm="1">
        <f t="array" ref="E26">_xlfn.IFS(AND(D25&gt;D26,D25&gt;D27),"Instagram has gained Highest Followers",AND(D26&gt;D25,D26&gt;D27),"Twitter has gained Highest Followers",AND(D27&gt;D26,D27&gt;D25),"Youtube has gained Highest Followers")</f>
        <v>Twitter has gained Highest Followers</v>
      </c>
      <c r="F26" s="54"/>
      <c r="G26" s="54"/>
      <c r="H26" s="54"/>
    </row>
    <row r="27" spans="1:8" x14ac:dyDescent="0.25">
      <c r="A27" s="7" t="s">
        <v>12</v>
      </c>
      <c r="B27" s="1">
        <v>1253</v>
      </c>
      <c r="C27" s="1">
        <v>136</v>
      </c>
      <c r="D27">
        <f t="shared" si="0"/>
        <v>1117</v>
      </c>
    </row>
    <row r="28" spans="1:8" x14ac:dyDescent="0.25">
      <c r="A28" s="12">
        <v>45488</v>
      </c>
      <c r="B28" s="1">
        <v>2905</v>
      </c>
      <c r="C28" s="1">
        <v>536</v>
      </c>
      <c r="D28" s="13">
        <f t="shared" si="0"/>
        <v>2369</v>
      </c>
    </row>
    <row r="29" spans="1:8" x14ac:dyDescent="0.25">
      <c r="A29" s="7" t="s">
        <v>11</v>
      </c>
      <c r="B29" s="1">
        <v>616</v>
      </c>
      <c r="C29" s="1">
        <v>257</v>
      </c>
      <c r="D29">
        <f t="shared" si="0"/>
        <v>359</v>
      </c>
    </row>
    <row r="30" spans="1:8" x14ac:dyDescent="0.25">
      <c r="A30" s="7" t="s">
        <v>17</v>
      </c>
      <c r="B30" s="1">
        <v>1308</v>
      </c>
      <c r="C30" s="1">
        <v>210</v>
      </c>
      <c r="D30">
        <f t="shared" si="0"/>
        <v>1098</v>
      </c>
      <c r="E30" s="54" t="str" cm="1">
        <f t="array" ref="E30">_xlfn.IFS(AND(D29&gt;D30,D29&gt;D31),"Instagram has gained Highest Followers",AND(D30&gt;D29,D30&gt;D31),"Twitter has gained Highest Followers",AND(D31&gt;D30,D31&gt;D29),"Youtube has gained Highest Followers")</f>
        <v>Twitter has gained Highest Followers</v>
      </c>
      <c r="F30" s="54"/>
      <c r="G30" s="54"/>
      <c r="H30" s="54"/>
    </row>
    <row r="31" spans="1:8" x14ac:dyDescent="0.25">
      <c r="A31" s="7" t="s">
        <v>12</v>
      </c>
      <c r="B31" s="1">
        <v>981</v>
      </c>
      <c r="C31" s="1">
        <v>69</v>
      </c>
      <c r="D31">
        <f t="shared" si="0"/>
        <v>912</v>
      </c>
    </row>
    <row r="32" spans="1:8" x14ac:dyDescent="0.25">
      <c r="A32" s="12">
        <v>45495</v>
      </c>
      <c r="B32" s="1">
        <v>2654</v>
      </c>
      <c r="C32" s="1">
        <v>373</v>
      </c>
      <c r="D32" s="13">
        <f t="shared" si="0"/>
        <v>2281</v>
      </c>
    </row>
    <row r="33" spans="1:8" x14ac:dyDescent="0.25">
      <c r="A33" s="7" t="s">
        <v>11</v>
      </c>
      <c r="B33" s="1">
        <v>866</v>
      </c>
      <c r="C33" s="1">
        <v>74</v>
      </c>
      <c r="D33">
        <f t="shared" si="0"/>
        <v>792</v>
      </c>
    </row>
    <row r="34" spans="1:8" x14ac:dyDescent="0.25">
      <c r="A34" s="7" t="s">
        <v>17</v>
      </c>
      <c r="B34" s="1">
        <v>547</v>
      </c>
      <c r="C34" s="1">
        <v>183</v>
      </c>
      <c r="D34">
        <f t="shared" si="0"/>
        <v>364</v>
      </c>
      <c r="E34" s="54" t="str" cm="1">
        <f t="array" ref="E34">_xlfn.IFS(AND(D33&gt;D34,D33&gt;D35),"Instagram has gained Highest Followers",AND(D34&gt;D33,D34&gt;D35),"Twitter has gained Highest Followers",AND(D35&gt;D34,D35&gt;D33),"Youtube has gained Highest Followers")</f>
        <v>Youtube has gained Highest Followers</v>
      </c>
      <c r="F34" s="54"/>
      <c r="G34" s="54"/>
      <c r="H34" s="54"/>
    </row>
    <row r="35" spans="1:8" x14ac:dyDescent="0.25">
      <c r="A35" s="7" t="s">
        <v>12</v>
      </c>
      <c r="B35" s="1">
        <v>1241</v>
      </c>
      <c r="C35" s="1">
        <v>116</v>
      </c>
      <c r="D35">
        <f t="shared" si="0"/>
        <v>1125</v>
      </c>
    </row>
    <row r="36" spans="1:8" x14ac:dyDescent="0.25">
      <c r="A36" s="12">
        <v>45502</v>
      </c>
      <c r="B36" s="1">
        <v>2567</v>
      </c>
      <c r="C36" s="1">
        <v>435</v>
      </c>
      <c r="D36" s="13">
        <f t="shared" si="0"/>
        <v>2132</v>
      </c>
    </row>
    <row r="37" spans="1:8" x14ac:dyDescent="0.25">
      <c r="A37" s="7" t="s">
        <v>11</v>
      </c>
      <c r="B37" s="1">
        <v>973</v>
      </c>
      <c r="C37" s="1">
        <v>104</v>
      </c>
      <c r="D37">
        <f t="shared" si="0"/>
        <v>869</v>
      </c>
    </row>
    <row r="38" spans="1:8" x14ac:dyDescent="0.25">
      <c r="A38" s="7" t="s">
        <v>17</v>
      </c>
      <c r="B38" s="1">
        <v>611</v>
      </c>
      <c r="C38" s="1">
        <v>197</v>
      </c>
      <c r="D38">
        <f t="shared" si="0"/>
        <v>414</v>
      </c>
      <c r="E38" s="54" t="str" cm="1">
        <f t="array" ref="E38">_xlfn.IFS(AND(D37&gt;D38,D37&gt;D39),"Instagram has gained Highest Followers",AND(D38&gt;D37,D38&gt;D39),"Twitter has gained Highest Followers",AND(D39&gt;D38,D39&gt;D37),"Youtube has gained Highest Followers")</f>
        <v>Instagram has gained Highest Followers</v>
      </c>
      <c r="F38" s="54"/>
      <c r="G38" s="54"/>
      <c r="H38" s="54"/>
    </row>
    <row r="39" spans="1:8" x14ac:dyDescent="0.25">
      <c r="A39" s="7" t="s">
        <v>12</v>
      </c>
      <c r="B39" s="1">
        <v>983</v>
      </c>
      <c r="C39" s="1">
        <v>134</v>
      </c>
      <c r="D39">
        <f t="shared" si="0"/>
        <v>849</v>
      </c>
    </row>
    <row r="40" spans="1:8" x14ac:dyDescent="0.25">
      <c r="A40" s="12">
        <v>45509</v>
      </c>
      <c r="B40" s="1">
        <v>3138</v>
      </c>
      <c r="C40" s="1">
        <v>445</v>
      </c>
      <c r="D40" s="13">
        <f t="shared" si="0"/>
        <v>2693</v>
      </c>
    </row>
    <row r="41" spans="1:8" x14ac:dyDescent="0.25">
      <c r="A41" s="7" t="s">
        <v>11</v>
      </c>
      <c r="B41" s="1">
        <v>1449</v>
      </c>
      <c r="C41" s="1">
        <v>96</v>
      </c>
      <c r="D41">
        <f t="shared" si="0"/>
        <v>1353</v>
      </c>
    </row>
    <row r="42" spans="1:8" x14ac:dyDescent="0.25">
      <c r="A42" s="7" t="s">
        <v>17</v>
      </c>
      <c r="B42" s="1">
        <v>752</v>
      </c>
      <c r="C42" s="1">
        <v>170</v>
      </c>
      <c r="D42">
        <f t="shared" si="0"/>
        <v>582</v>
      </c>
      <c r="E42" s="54" t="str" cm="1">
        <f t="array" ref="E42">_xlfn.IFS(AND(D41&gt;D42,D41&gt;D43),"Instagram has gained Highest Followers",AND(D42&gt;D41,D42&gt;D43),"Twitter has gained Highest Followers",AND(D43&gt;D42,D43&gt;D41),"Youtube has gained Highest Followers")</f>
        <v>Instagram has gained Highest Followers</v>
      </c>
      <c r="F42" s="54"/>
      <c r="G42" s="54"/>
      <c r="H42" s="54"/>
    </row>
    <row r="43" spans="1:8" x14ac:dyDescent="0.25">
      <c r="A43" s="7" t="s">
        <v>12</v>
      </c>
      <c r="B43" s="1">
        <v>937</v>
      </c>
      <c r="C43" s="1">
        <v>179</v>
      </c>
      <c r="D43">
        <f t="shared" si="0"/>
        <v>758</v>
      </c>
    </row>
    <row r="44" spans="1:8" x14ac:dyDescent="0.25">
      <c r="A44" s="12">
        <v>45516</v>
      </c>
      <c r="B44" s="1">
        <v>3625</v>
      </c>
      <c r="C44" s="1">
        <v>553</v>
      </c>
      <c r="D44" s="13">
        <f t="shared" si="0"/>
        <v>3072</v>
      </c>
    </row>
    <row r="45" spans="1:8" x14ac:dyDescent="0.25">
      <c r="A45" s="7" t="s">
        <v>11</v>
      </c>
      <c r="B45" s="1">
        <v>1060</v>
      </c>
      <c r="C45" s="1">
        <v>83</v>
      </c>
      <c r="D45">
        <f t="shared" si="0"/>
        <v>977</v>
      </c>
    </row>
    <row r="46" spans="1:8" x14ac:dyDescent="0.25">
      <c r="A46" s="7" t="s">
        <v>17</v>
      </c>
      <c r="B46" s="1">
        <v>1456</v>
      </c>
      <c r="C46" s="1">
        <v>265</v>
      </c>
      <c r="D46">
        <f t="shared" si="0"/>
        <v>1191</v>
      </c>
      <c r="E46" s="54" t="str" cm="1">
        <f t="array" ref="E46">_xlfn.IFS(AND(D45&gt;D46,D45&gt;D47),"Instagram has gained Highest Followers",AND(D46&gt;D45,D46&gt;D47),"Twitter has gained Highest Followers",AND(D47&gt;D46,D47&gt;D45),"Youtube has gained Highest Followers")</f>
        <v>Twitter has gained Highest Followers</v>
      </c>
      <c r="F46" s="54"/>
      <c r="G46" s="54"/>
      <c r="H46" s="54"/>
    </row>
    <row r="47" spans="1:8" x14ac:dyDescent="0.25">
      <c r="A47" s="7" t="s">
        <v>12</v>
      </c>
      <c r="B47" s="1">
        <v>1109</v>
      </c>
      <c r="C47" s="1">
        <v>205</v>
      </c>
      <c r="D47">
        <f t="shared" si="0"/>
        <v>904</v>
      </c>
    </row>
    <row r="48" spans="1:8" x14ac:dyDescent="0.25">
      <c r="A48" s="12">
        <v>45523</v>
      </c>
      <c r="B48" s="1">
        <v>2813</v>
      </c>
      <c r="C48" s="1">
        <v>513</v>
      </c>
      <c r="D48" s="13">
        <f t="shared" si="0"/>
        <v>2300</v>
      </c>
    </row>
    <row r="49" spans="1:8" x14ac:dyDescent="0.25">
      <c r="A49" s="7" t="s">
        <v>11</v>
      </c>
      <c r="B49" s="1">
        <v>1002</v>
      </c>
      <c r="C49" s="1">
        <v>93</v>
      </c>
      <c r="D49">
        <f t="shared" si="0"/>
        <v>909</v>
      </c>
    </row>
    <row r="50" spans="1:8" x14ac:dyDescent="0.25">
      <c r="A50" s="7" t="s">
        <v>17</v>
      </c>
      <c r="B50" s="1">
        <v>571</v>
      </c>
      <c r="C50" s="1">
        <v>189</v>
      </c>
      <c r="D50">
        <f t="shared" si="0"/>
        <v>382</v>
      </c>
      <c r="E50" s="54" t="str" cm="1">
        <f t="array" ref="E50">_xlfn.IFS(AND(D49&gt;D50,D49&gt;D51),"Instagram has gained Highest Followers",AND(D50&gt;D49,D50&gt;D51),"Twitter has gained Highest Followers",AND(D51&gt;D50,D51&gt;D49),"Youtube has gained Highest Followers")</f>
        <v>Youtube has gained Highest Followers</v>
      </c>
      <c r="F50" s="54"/>
      <c r="G50" s="54"/>
      <c r="H50" s="54"/>
    </row>
    <row r="51" spans="1:8" x14ac:dyDescent="0.25">
      <c r="A51" s="7" t="s">
        <v>12</v>
      </c>
      <c r="B51" s="1">
        <v>1240</v>
      </c>
      <c r="C51" s="1">
        <v>231</v>
      </c>
      <c r="D51">
        <f t="shared" si="0"/>
        <v>1009</v>
      </c>
    </row>
    <row r="52" spans="1:8" x14ac:dyDescent="0.25">
      <c r="A52" s="12">
        <v>45530</v>
      </c>
      <c r="B52" s="1">
        <v>3147</v>
      </c>
      <c r="C52" s="1">
        <v>697</v>
      </c>
      <c r="D52" s="13">
        <f t="shared" si="0"/>
        <v>2450</v>
      </c>
    </row>
    <row r="53" spans="1:8" x14ac:dyDescent="0.25">
      <c r="A53" s="7" t="s">
        <v>11</v>
      </c>
      <c r="B53" s="1">
        <v>1154</v>
      </c>
      <c r="C53" s="1">
        <v>132</v>
      </c>
      <c r="D53">
        <f t="shared" si="0"/>
        <v>1022</v>
      </c>
    </row>
    <row r="54" spans="1:8" x14ac:dyDescent="0.25">
      <c r="A54" s="7" t="s">
        <v>17</v>
      </c>
      <c r="B54" s="1">
        <v>537</v>
      </c>
      <c r="C54" s="1">
        <v>275</v>
      </c>
      <c r="D54">
        <f t="shared" si="0"/>
        <v>262</v>
      </c>
      <c r="E54" s="54" t="str" cm="1">
        <f t="array" ref="E54">_xlfn.IFS(AND(D53&gt;D54,D53&gt;D55),"Instagram has gained Highest Followers",AND(D54&gt;D53,D54&gt;D55),"Twitter has gained Highest Followers",AND(D55&gt;D54,D55&gt;D53),"Youtube has gained Highest Followers")</f>
        <v>Youtube has gained Highest Followers</v>
      </c>
      <c r="F54" s="54"/>
      <c r="G54" s="54"/>
      <c r="H54" s="54"/>
    </row>
    <row r="55" spans="1:8" x14ac:dyDescent="0.25">
      <c r="A55" s="7" t="s">
        <v>12</v>
      </c>
      <c r="B55" s="1">
        <v>1456</v>
      </c>
      <c r="C55" s="1">
        <v>290</v>
      </c>
      <c r="D55">
        <f t="shared" si="0"/>
        <v>1166</v>
      </c>
    </row>
    <row r="56" spans="1:8" x14ac:dyDescent="0.25">
      <c r="A56" s="12">
        <v>45537</v>
      </c>
      <c r="B56" s="1">
        <v>2915</v>
      </c>
      <c r="C56" s="1">
        <v>413</v>
      </c>
      <c r="D56" s="13">
        <f t="shared" si="0"/>
        <v>2502</v>
      </c>
    </row>
    <row r="57" spans="1:8" x14ac:dyDescent="0.25">
      <c r="A57" s="7" t="s">
        <v>11</v>
      </c>
      <c r="B57" s="1">
        <v>721</v>
      </c>
      <c r="C57" s="1">
        <v>206</v>
      </c>
      <c r="D57">
        <f t="shared" si="0"/>
        <v>515</v>
      </c>
    </row>
    <row r="58" spans="1:8" x14ac:dyDescent="0.25">
      <c r="A58" s="7" t="s">
        <v>17</v>
      </c>
      <c r="B58" s="1">
        <v>1098</v>
      </c>
      <c r="C58" s="1">
        <v>142</v>
      </c>
      <c r="D58">
        <f t="shared" si="0"/>
        <v>956</v>
      </c>
      <c r="E58" s="54" t="str" cm="1">
        <f t="array" ref="E58">_xlfn.IFS(AND(D57&gt;D58,D57&gt;D59),"Instagram has gained Highest Followers",AND(D58&gt;D57,D58&gt;D59),"Twitter has gained Highest Followers",AND(D59&gt;D58,D59&gt;D57),"Youtube has gained Highest Followers")</f>
        <v>Youtube has gained Highest Followers</v>
      </c>
      <c r="F58" s="54"/>
      <c r="G58" s="54"/>
      <c r="H58" s="54"/>
    </row>
    <row r="59" spans="1:8" x14ac:dyDescent="0.25">
      <c r="A59" s="7" t="s">
        <v>12</v>
      </c>
      <c r="B59" s="1">
        <v>1096</v>
      </c>
      <c r="C59" s="1">
        <v>65</v>
      </c>
      <c r="D59">
        <f t="shared" si="0"/>
        <v>1031</v>
      </c>
    </row>
    <row r="60" spans="1:8" x14ac:dyDescent="0.25">
      <c r="A60" s="12">
        <v>45544</v>
      </c>
      <c r="B60" s="1">
        <v>3196</v>
      </c>
      <c r="C60" s="1">
        <v>566</v>
      </c>
      <c r="D60" s="13">
        <f t="shared" si="0"/>
        <v>2630</v>
      </c>
    </row>
    <row r="61" spans="1:8" x14ac:dyDescent="0.25">
      <c r="A61" s="7" t="s">
        <v>11</v>
      </c>
      <c r="B61" s="1">
        <v>912</v>
      </c>
      <c r="C61" s="1">
        <v>275</v>
      </c>
      <c r="D61">
        <f t="shared" si="0"/>
        <v>637</v>
      </c>
    </row>
    <row r="62" spans="1:8" x14ac:dyDescent="0.25">
      <c r="A62" s="7" t="s">
        <v>17</v>
      </c>
      <c r="B62" s="1">
        <v>1430</v>
      </c>
      <c r="C62" s="1">
        <v>162</v>
      </c>
      <c r="D62">
        <f t="shared" si="0"/>
        <v>1268</v>
      </c>
      <c r="E62" s="54" t="str" cm="1">
        <f t="array" ref="E62">_xlfn.IFS(AND(D61&gt;D62,D61&gt;D63),"Instagram has gained Highest Followers",AND(D62&gt;D61,D62&gt;D63),"Twitter has gained Highest Followers",AND(D63&gt;D62,D63&gt;D61),"Youtube has gained Highest Followers")</f>
        <v>Twitter has gained Highest Followers</v>
      </c>
      <c r="F62" s="54"/>
      <c r="G62" s="54"/>
      <c r="H62" s="54"/>
    </row>
    <row r="63" spans="1:8" x14ac:dyDescent="0.25">
      <c r="A63" s="7" t="s">
        <v>12</v>
      </c>
      <c r="B63" s="1">
        <v>854</v>
      </c>
      <c r="C63" s="1">
        <v>129</v>
      </c>
      <c r="D63">
        <f t="shared" si="0"/>
        <v>725</v>
      </c>
    </row>
    <row r="64" spans="1:8" x14ac:dyDescent="0.25">
      <c r="A64" s="12">
        <v>45551</v>
      </c>
      <c r="B64" s="1">
        <v>2739</v>
      </c>
      <c r="C64" s="1">
        <v>577</v>
      </c>
      <c r="D64" s="13">
        <f t="shared" si="0"/>
        <v>2162</v>
      </c>
    </row>
    <row r="65" spans="1:8" x14ac:dyDescent="0.25">
      <c r="A65" s="7" t="s">
        <v>11</v>
      </c>
      <c r="B65" s="1">
        <v>681</v>
      </c>
      <c r="C65" s="1">
        <v>210</v>
      </c>
      <c r="D65">
        <f t="shared" si="0"/>
        <v>471</v>
      </c>
    </row>
    <row r="66" spans="1:8" x14ac:dyDescent="0.25">
      <c r="A66" s="7" t="s">
        <v>17</v>
      </c>
      <c r="B66" s="1">
        <v>1373</v>
      </c>
      <c r="C66" s="1">
        <v>82</v>
      </c>
      <c r="D66">
        <f t="shared" si="0"/>
        <v>1291</v>
      </c>
      <c r="E66" s="54" t="str" cm="1">
        <f t="array" ref="E66">_xlfn.IFS(AND(D65&gt;D66,D65&gt;D67),"Instagram has gained Highest Followers",AND(D66&gt;D65,D66&gt;D67),"Twitter has gained Highest Followers",AND(D67&gt;D66,D67&gt;D65),"Youtube has gained Highest Followers")</f>
        <v>Twitter has gained Highest Followers</v>
      </c>
      <c r="F66" s="54"/>
      <c r="G66" s="54"/>
      <c r="H66" s="54"/>
    </row>
    <row r="67" spans="1:8" x14ac:dyDescent="0.25">
      <c r="A67" s="7" t="s">
        <v>12</v>
      </c>
      <c r="B67" s="1">
        <v>685</v>
      </c>
      <c r="C67" s="1">
        <v>285</v>
      </c>
      <c r="D67">
        <f t="shared" si="0"/>
        <v>400</v>
      </c>
    </row>
    <row r="68" spans="1:8" x14ac:dyDescent="0.25">
      <c r="A68" s="12">
        <v>45558</v>
      </c>
      <c r="B68" s="1">
        <v>3496</v>
      </c>
      <c r="C68" s="1">
        <v>711</v>
      </c>
      <c r="D68" s="13">
        <f t="shared" si="0"/>
        <v>2785</v>
      </c>
    </row>
    <row r="69" spans="1:8" x14ac:dyDescent="0.25">
      <c r="A69" s="7" t="s">
        <v>11</v>
      </c>
      <c r="B69" s="1">
        <v>1290</v>
      </c>
      <c r="C69" s="1">
        <v>177</v>
      </c>
      <c r="D69">
        <f t="shared" si="0"/>
        <v>1113</v>
      </c>
    </row>
    <row r="70" spans="1:8" x14ac:dyDescent="0.25">
      <c r="A70" s="7" t="s">
        <v>17</v>
      </c>
      <c r="B70" s="1">
        <v>1437</v>
      </c>
      <c r="C70" s="1">
        <v>239</v>
      </c>
      <c r="D70">
        <f t="shared" ref="D70:D133" si="1">B70-C70</f>
        <v>1198</v>
      </c>
      <c r="E70" s="54" t="str" cm="1">
        <f t="array" ref="E70">_xlfn.IFS(AND(D69&gt;D70,D69&gt;D71),"Instagram has gained Highest Followers",AND(D70&gt;D69,D70&gt;D71),"Twitter has gained Highest Followers",AND(D71&gt;D70,D71&gt;D69),"Youtube has gained Highest Followers")</f>
        <v>Twitter has gained Highest Followers</v>
      </c>
      <c r="F70" s="54"/>
      <c r="G70" s="54"/>
      <c r="H70" s="54"/>
    </row>
    <row r="71" spans="1:8" x14ac:dyDescent="0.25">
      <c r="A71" s="7" t="s">
        <v>12</v>
      </c>
      <c r="B71" s="1">
        <v>769</v>
      </c>
      <c r="C71" s="1">
        <v>295</v>
      </c>
      <c r="D71">
        <f t="shared" si="1"/>
        <v>474</v>
      </c>
    </row>
    <row r="72" spans="1:8" x14ac:dyDescent="0.25">
      <c r="A72" s="12">
        <v>45565</v>
      </c>
      <c r="B72" s="1">
        <v>3835</v>
      </c>
      <c r="C72" s="1">
        <v>684</v>
      </c>
      <c r="D72" s="13">
        <f t="shared" si="1"/>
        <v>3151</v>
      </c>
    </row>
    <row r="73" spans="1:8" x14ac:dyDescent="0.25">
      <c r="A73" s="7" t="s">
        <v>11</v>
      </c>
      <c r="B73" s="1">
        <v>1416</v>
      </c>
      <c r="C73" s="1">
        <v>284</v>
      </c>
      <c r="D73">
        <f t="shared" si="1"/>
        <v>1132</v>
      </c>
    </row>
    <row r="74" spans="1:8" x14ac:dyDescent="0.25">
      <c r="A74" s="7" t="s">
        <v>17</v>
      </c>
      <c r="B74" s="1">
        <v>998</v>
      </c>
      <c r="C74" s="1">
        <v>154</v>
      </c>
      <c r="D74">
        <f t="shared" si="1"/>
        <v>844</v>
      </c>
      <c r="E74" s="54" t="str" cm="1">
        <f t="array" ref="E74">_xlfn.IFS(AND(D73&gt;D74,D73&gt;D75),"Instagram has gained Highest Followers",AND(D74&gt;D73,D74&gt;D75),"Twitter has gained Highest Followers",AND(D75&gt;D74,D75&gt;D73),"Youtube has gained Highest Followers")</f>
        <v>Youtube has gained Highest Followers</v>
      </c>
      <c r="F74" s="54"/>
      <c r="G74" s="54"/>
      <c r="H74" s="54"/>
    </row>
    <row r="75" spans="1:8" x14ac:dyDescent="0.25">
      <c r="A75" s="7" t="s">
        <v>12</v>
      </c>
      <c r="B75" s="1">
        <v>1421</v>
      </c>
      <c r="C75" s="1">
        <v>246</v>
      </c>
      <c r="D75">
        <f t="shared" si="1"/>
        <v>1175</v>
      </c>
    </row>
    <row r="76" spans="1:8" x14ac:dyDescent="0.25">
      <c r="A76" s="12">
        <v>45572</v>
      </c>
      <c r="B76" s="1">
        <v>2770</v>
      </c>
      <c r="C76" s="1">
        <v>432</v>
      </c>
      <c r="D76" s="13">
        <f t="shared" si="1"/>
        <v>2338</v>
      </c>
    </row>
    <row r="77" spans="1:8" x14ac:dyDescent="0.25">
      <c r="A77" s="7" t="s">
        <v>11</v>
      </c>
      <c r="B77" s="1">
        <v>764</v>
      </c>
      <c r="C77" s="1">
        <v>205</v>
      </c>
      <c r="D77">
        <f t="shared" si="1"/>
        <v>559</v>
      </c>
    </row>
    <row r="78" spans="1:8" x14ac:dyDescent="0.25">
      <c r="A78" s="7" t="s">
        <v>17</v>
      </c>
      <c r="B78" s="1">
        <v>678</v>
      </c>
      <c r="C78" s="1">
        <v>124</v>
      </c>
      <c r="D78">
        <f t="shared" si="1"/>
        <v>554</v>
      </c>
      <c r="E78" s="54" t="str" cm="1">
        <f t="array" ref="E78">_xlfn.IFS(AND(D77&gt;D78,D77&gt;D79),"Instagram has gained Highest Followers",AND(D78&gt;D77,D78&gt;D79),"Twitter has gained Highest Followers",AND(D79&gt;D78,D79&gt;D77),"Youtube has gained Highest Followers")</f>
        <v>Youtube has gained Highest Followers</v>
      </c>
      <c r="F78" s="54"/>
      <c r="G78" s="54"/>
      <c r="H78" s="54"/>
    </row>
    <row r="79" spans="1:8" x14ac:dyDescent="0.25">
      <c r="A79" s="7" t="s">
        <v>12</v>
      </c>
      <c r="B79" s="1">
        <v>1328</v>
      </c>
      <c r="C79" s="1">
        <v>103</v>
      </c>
      <c r="D79">
        <f t="shared" si="1"/>
        <v>1225</v>
      </c>
    </row>
    <row r="80" spans="1:8" x14ac:dyDescent="0.25">
      <c r="A80" s="12">
        <v>45579</v>
      </c>
      <c r="B80" s="1">
        <v>3206</v>
      </c>
      <c r="C80" s="1">
        <v>536</v>
      </c>
      <c r="D80" s="13">
        <f t="shared" si="1"/>
        <v>2670</v>
      </c>
    </row>
    <row r="81" spans="1:8" x14ac:dyDescent="0.25">
      <c r="A81" s="7" t="s">
        <v>11</v>
      </c>
      <c r="B81" s="1">
        <v>1161</v>
      </c>
      <c r="C81" s="1">
        <v>269</v>
      </c>
      <c r="D81">
        <f t="shared" si="1"/>
        <v>892</v>
      </c>
    </row>
    <row r="82" spans="1:8" x14ac:dyDescent="0.25">
      <c r="A82" s="7" t="s">
        <v>17</v>
      </c>
      <c r="B82" s="1">
        <v>588</v>
      </c>
      <c r="C82" s="1">
        <v>52</v>
      </c>
      <c r="D82">
        <f t="shared" si="1"/>
        <v>536</v>
      </c>
      <c r="E82" s="54" t="str" cm="1">
        <f t="array" ref="E82">_xlfn.IFS(AND(D81&gt;D82,D81&gt;D83),"Instagram has gained Highest Followers",AND(D82&gt;D81,D82&gt;D83),"Twitter has gained Highest Followers",AND(D83&gt;D82,D83&gt;D81),"Youtube has gained Highest Followers")</f>
        <v>Youtube has gained Highest Followers</v>
      </c>
      <c r="F82" s="54"/>
      <c r="G82" s="54"/>
      <c r="H82" s="54"/>
    </row>
    <row r="83" spans="1:8" x14ac:dyDescent="0.25">
      <c r="A83" s="7" t="s">
        <v>12</v>
      </c>
      <c r="B83" s="1">
        <v>1457</v>
      </c>
      <c r="C83" s="1">
        <v>215</v>
      </c>
      <c r="D83">
        <f t="shared" si="1"/>
        <v>1242</v>
      </c>
    </row>
    <row r="84" spans="1:8" x14ac:dyDescent="0.25">
      <c r="A84" s="12">
        <v>45586</v>
      </c>
      <c r="B84" s="1">
        <v>3313</v>
      </c>
      <c r="C84" s="1">
        <v>521</v>
      </c>
      <c r="D84" s="13">
        <f t="shared" si="1"/>
        <v>2792</v>
      </c>
    </row>
    <row r="85" spans="1:8" x14ac:dyDescent="0.25">
      <c r="A85" s="7" t="s">
        <v>11</v>
      </c>
      <c r="B85" s="1">
        <v>1190</v>
      </c>
      <c r="C85" s="1">
        <v>242</v>
      </c>
      <c r="D85">
        <f t="shared" si="1"/>
        <v>948</v>
      </c>
    </row>
    <row r="86" spans="1:8" x14ac:dyDescent="0.25">
      <c r="A86" s="7" t="s">
        <v>17</v>
      </c>
      <c r="B86" s="1">
        <v>886</v>
      </c>
      <c r="C86" s="1">
        <v>124</v>
      </c>
      <c r="D86">
        <f t="shared" si="1"/>
        <v>762</v>
      </c>
      <c r="E86" s="54" t="str" cm="1">
        <f t="array" ref="E86">_xlfn.IFS(AND(D85&gt;D86,D85&gt;D87),"Instagram has gained Highest Followers",AND(D86&gt;D85,D86&gt;D87),"Twitter has gained Highest Followers",AND(D87&gt;D86,D87&gt;D85),"Youtube has gained Highest Followers")</f>
        <v>Youtube has gained Highest Followers</v>
      </c>
      <c r="F86" s="54"/>
      <c r="G86" s="54"/>
      <c r="H86" s="54"/>
    </row>
    <row r="87" spans="1:8" x14ac:dyDescent="0.25">
      <c r="A87" s="7" t="s">
        <v>12</v>
      </c>
      <c r="B87" s="1">
        <v>1237</v>
      </c>
      <c r="C87" s="1">
        <v>155</v>
      </c>
      <c r="D87">
        <f t="shared" si="1"/>
        <v>1082</v>
      </c>
    </row>
    <row r="88" spans="1:8" x14ac:dyDescent="0.25">
      <c r="A88" s="12">
        <v>45593</v>
      </c>
      <c r="B88" s="1">
        <v>2940</v>
      </c>
      <c r="C88" s="1">
        <v>759</v>
      </c>
      <c r="D88" s="13">
        <f t="shared" si="1"/>
        <v>2181</v>
      </c>
    </row>
    <row r="89" spans="1:8" x14ac:dyDescent="0.25">
      <c r="A89" s="7" t="s">
        <v>11</v>
      </c>
      <c r="B89" s="1">
        <v>1435</v>
      </c>
      <c r="C89" s="1">
        <v>261</v>
      </c>
      <c r="D89">
        <f t="shared" si="1"/>
        <v>1174</v>
      </c>
    </row>
    <row r="90" spans="1:8" x14ac:dyDescent="0.25">
      <c r="A90" s="7" t="s">
        <v>17</v>
      </c>
      <c r="B90" s="1">
        <v>746</v>
      </c>
      <c r="C90" s="1">
        <v>282</v>
      </c>
      <c r="D90">
        <f t="shared" si="1"/>
        <v>464</v>
      </c>
      <c r="E90" s="54" t="str" cm="1">
        <f t="array" ref="E90">_xlfn.IFS(AND(D89&gt;D90,D89&gt;D91),"Instagram has gained Highest Followers",AND(D90&gt;D89,D90&gt;D91),"Twitter has gained Highest Followers",AND(D91&gt;D90,D91&gt;D89),"Youtube has gained Highest Followers")</f>
        <v>Instagram has gained Highest Followers</v>
      </c>
      <c r="F90" s="54"/>
      <c r="G90" s="54"/>
      <c r="H90" s="54"/>
    </row>
    <row r="91" spans="1:8" x14ac:dyDescent="0.25">
      <c r="A91" s="7" t="s">
        <v>12</v>
      </c>
      <c r="B91" s="1">
        <v>759</v>
      </c>
      <c r="C91" s="1">
        <v>216</v>
      </c>
      <c r="D91">
        <f t="shared" si="1"/>
        <v>543</v>
      </c>
    </row>
    <row r="92" spans="1:8" x14ac:dyDescent="0.25">
      <c r="A92" s="12">
        <v>45600</v>
      </c>
      <c r="B92" s="1">
        <v>4108</v>
      </c>
      <c r="C92" s="1">
        <v>532</v>
      </c>
      <c r="D92" s="13">
        <f t="shared" si="1"/>
        <v>3576</v>
      </c>
    </row>
    <row r="93" spans="1:8" x14ac:dyDescent="0.25">
      <c r="A93" s="7" t="s">
        <v>11</v>
      </c>
      <c r="B93" s="1">
        <v>1437</v>
      </c>
      <c r="C93" s="1">
        <v>235</v>
      </c>
      <c r="D93">
        <f t="shared" si="1"/>
        <v>1202</v>
      </c>
    </row>
    <row r="94" spans="1:8" x14ac:dyDescent="0.25">
      <c r="A94" s="7" t="s">
        <v>17</v>
      </c>
      <c r="B94" s="1">
        <v>1463</v>
      </c>
      <c r="C94" s="1">
        <v>73</v>
      </c>
      <c r="D94">
        <f t="shared" si="1"/>
        <v>1390</v>
      </c>
      <c r="E94" s="54" t="str" cm="1">
        <f t="array" ref="E94">_xlfn.IFS(AND(D93&gt;D94,D93&gt;D95),"Instagram has gained Highest Followers",AND(D94&gt;D93,D94&gt;D95),"Twitter has gained Highest Followers",AND(D95&gt;D94,D95&gt;D93),"Youtube has gained Highest Followers")</f>
        <v>Twitter has gained Highest Followers</v>
      </c>
      <c r="F94" s="54"/>
      <c r="G94" s="54"/>
      <c r="H94" s="54"/>
    </row>
    <row r="95" spans="1:8" x14ac:dyDescent="0.25">
      <c r="A95" s="7" t="s">
        <v>12</v>
      </c>
      <c r="B95" s="1">
        <v>1208</v>
      </c>
      <c r="C95" s="1">
        <v>224</v>
      </c>
      <c r="D95">
        <f t="shared" si="1"/>
        <v>984</v>
      </c>
    </row>
    <row r="96" spans="1:8" x14ac:dyDescent="0.25">
      <c r="A96" s="12">
        <v>45607</v>
      </c>
      <c r="B96" s="1">
        <v>3194</v>
      </c>
      <c r="C96" s="1">
        <v>400</v>
      </c>
      <c r="D96" s="13">
        <f t="shared" si="1"/>
        <v>2794</v>
      </c>
    </row>
    <row r="97" spans="1:8" x14ac:dyDescent="0.25">
      <c r="A97" s="7" t="s">
        <v>11</v>
      </c>
      <c r="B97" s="1">
        <v>1391</v>
      </c>
      <c r="C97" s="1">
        <v>187</v>
      </c>
      <c r="D97">
        <f t="shared" si="1"/>
        <v>1204</v>
      </c>
    </row>
    <row r="98" spans="1:8" x14ac:dyDescent="0.25">
      <c r="A98" s="7" t="s">
        <v>17</v>
      </c>
      <c r="B98" s="1">
        <v>655</v>
      </c>
      <c r="C98" s="1">
        <v>123</v>
      </c>
      <c r="D98">
        <f t="shared" si="1"/>
        <v>532</v>
      </c>
      <c r="E98" s="54" t="str" cm="1">
        <f t="array" ref="E98">_xlfn.IFS(AND(D97&gt;D98,D97&gt;D99),"Instagram has gained Highest Followers",AND(D98&gt;D97,D98&gt;D99),"Twitter has gained Highest Followers",AND(D99&gt;D98,D99&gt;D97),"Youtube has gained Highest Followers")</f>
        <v>Instagram has gained Highest Followers</v>
      </c>
      <c r="F98" s="54"/>
      <c r="G98" s="54"/>
      <c r="H98" s="54"/>
    </row>
    <row r="99" spans="1:8" x14ac:dyDescent="0.25">
      <c r="A99" s="7" t="s">
        <v>12</v>
      </c>
      <c r="B99" s="1">
        <v>1148</v>
      </c>
      <c r="C99" s="1">
        <v>90</v>
      </c>
      <c r="D99">
        <f t="shared" si="1"/>
        <v>1058</v>
      </c>
    </row>
    <row r="100" spans="1:8" x14ac:dyDescent="0.25">
      <c r="A100" s="12">
        <v>45614</v>
      </c>
      <c r="B100" s="1">
        <v>2530</v>
      </c>
      <c r="C100" s="1">
        <v>595</v>
      </c>
      <c r="D100" s="13">
        <f t="shared" si="1"/>
        <v>1935</v>
      </c>
    </row>
    <row r="101" spans="1:8" x14ac:dyDescent="0.25">
      <c r="A101" s="7" t="s">
        <v>11</v>
      </c>
      <c r="B101" s="1">
        <v>946</v>
      </c>
      <c r="C101" s="1">
        <v>270</v>
      </c>
      <c r="D101">
        <f t="shared" si="1"/>
        <v>676</v>
      </c>
    </row>
    <row r="102" spans="1:8" x14ac:dyDescent="0.25">
      <c r="A102" s="7" t="s">
        <v>17</v>
      </c>
      <c r="B102" s="1">
        <v>791</v>
      </c>
      <c r="C102" s="1">
        <v>214</v>
      </c>
      <c r="D102">
        <f t="shared" si="1"/>
        <v>577</v>
      </c>
      <c r="E102" s="54" t="str" cm="1">
        <f t="array" ref="E102">_xlfn.IFS(AND(D101&gt;D102,D101&gt;D103),"Instagram has gained Highest Followers",AND(D102&gt;D101,D102&gt;D103),"Twitter has gained Highest Followers",AND(D103&gt;D102,D103&gt;D101),"Youtube has gained Highest Followers")</f>
        <v>Youtube has gained Highest Followers</v>
      </c>
      <c r="F102" s="54"/>
      <c r="G102" s="54"/>
      <c r="H102" s="54"/>
    </row>
    <row r="103" spans="1:8" x14ac:dyDescent="0.25">
      <c r="A103" s="7" t="s">
        <v>12</v>
      </c>
      <c r="B103" s="1">
        <v>793</v>
      </c>
      <c r="C103" s="1">
        <v>111</v>
      </c>
      <c r="D103">
        <f t="shared" si="1"/>
        <v>682</v>
      </c>
    </row>
    <row r="104" spans="1:8" x14ac:dyDescent="0.25">
      <c r="A104" s="12">
        <v>45621</v>
      </c>
      <c r="B104" s="1">
        <v>2930</v>
      </c>
      <c r="C104" s="1">
        <v>643</v>
      </c>
      <c r="D104" s="13">
        <f t="shared" si="1"/>
        <v>2287</v>
      </c>
    </row>
    <row r="105" spans="1:8" x14ac:dyDescent="0.25">
      <c r="A105" s="7" t="s">
        <v>11</v>
      </c>
      <c r="B105" s="1">
        <v>663</v>
      </c>
      <c r="C105" s="1">
        <v>213</v>
      </c>
      <c r="D105">
        <f t="shared" si="1"/>
        <v>450</v>
      </c>
    </row>
    <row r="106" spans="1:8" x14ac:dyDescent="0.25">
      <c r="A106" s="7" t="s">
        <v>17</v>
      </c>
      <c r="B106" s="1">
        <v>954</v>
      </c>
      <c r="C106" s="1">
        <v>271</v>
      </c>
      <c r="D106">
        <f t="shared" si="1"/>
        <v>683</v>
      </c>
      <c r="E106" s="54" t="str" cm="1">
        <f t="array" ref="E106">_xlfn.IFS(AND(D105&gt;D106,D105&gt;D107),"Instagram has gained Highest Followers",AND(D106&gt;D105,D106&gt;D107),"Twitter has gained Highest Followers",AND(D107&gt;D106,D107&gt;D105),"Youtube has gained Highest Followers")</f>
        <v>Youtube has gained Highest Followers</v>
      </c>
      <c r="F106" s="54"/>
      <c r="G106" s="54"/>
      <c r="H106" s="54"/>
    </row>
    <row r="107" spans="1:8" x14ac:dyDescent="0.25">
      <c r="A107" s="7" t="s">
        <v>12</v>
      </c>
      <c r="B107" s="1">
        <v>1313</v>
      </c>
      <c r="C107" s="1">
        <v>159</v>
      </c>
      <c r="D107">
        <f t="shared" si="1"/>
        <v>1154</v>
      </c>
    </row>
    <row r="108" spans="1:8" x14ac:dyDescent="0.25">
      <c r="A108" s="12">
        <v>45628</v>
      </c>
      <c r="B108" s="1">
        <v>2912</v>
      </c>
      <c r="C108" s="1">
        <v>529</v>
      </c>
      <c r="D108" s="13">
        <f t="shared" si="1"/>
        <v>2383</v>
      </c>
    </row>
    <row r="109" spans="1:8" x14ac:dyDescent="0.25">
      <c r="A109" s="7" t="s">
        <v>11</v>
      </c>
      <c r="B109" s="1">
        <v>895</v>
      </c>
      <c r="C109" s="1">
        <v>87</v>
      </c>
      <c r="D109">
        <f t="shared" si="1"/>
        <v>808</v>
      </c>
    </row>
    <row r="110" spans="1:8" x14ac:dyDescent="0.25">
      <c r="A110" s="7" t="s">
        <v>17</v>
      </c>
      <c r="B110" s="1">
        <v>1027</v>
      </c>
      <c r="C110" s="1">
        <v>156</v>
      </c>
      <c r="D110">
        <f t="shared" si="1"/>
        <v>871</v>
      </c>
      <c r="E110" s="54" t="str" cm="1">
        <f t="array" ref="E110">_xlfn.IFS(AND(D109&gt;D110,D109&gt;D111),"Instagram has gained Highest Followers",AND(D110&gt;D109,D110&gt;D111),"Twitter has gained Highest Followers",AND(D111&gt;D110,D111&gt;D109),"Youtube has gained Highest Followers")</f>
        <v>Twitter has gained Highest Followers</v>
      </c>
      <c r="F110" s="54"/>
      <c r="G110" s="54"/>
      <c r="H110" s="54"/>
    </row>
    <row r="111" spans="1:8" x14ac:dyDescent="0.25">
      <c r="A111" s="7" t="s">
        <v>12</v>
      </c>
      <c r="B111" s="1">
        <v>990</v>
      </c>
      <c r="C111" s="1">
        <v>286</v>
      </c>
      <c r="D111">
        <f t="shared" si="1"/>
        <v>704</v>
      </c>
    </row>
    <row r="112" spans="1:8" x14ac:dyDescent="0.25">
      <c r="A112" s="12">
        <v>45635</v>
      </c>
      <c r="B112" s="1">
        <v>2104</v>
      </c>
      <c r="C112" s="1">
        <v>706</v>
      </c>
      <c r="D112" s="13">
        <f t="shared" si="1"/>
        <v>1398</v>
      </c>
    </row>
    <row r="113" spans="1:8" x14ac:dyDescent="0.25">
      <c r="A113" s="7" t="s">
        <v>11</v>
      </c>
      <c r="B113" s="1">
        <v>875</v>
      </c>
      <c r="C113" s="1">
        <v>264</v>
      </c>
      <c r="D113">
        <f t="shared" si="1"/>
        <v>611</v>
      </c>
    </row>
    <row r="114" spans="1:8" x14ac:dyDescent="0.25">
      <c r="A114" s="7" t="s">
        <v>17</v>
      </c>
      <c r="B114" s="1">
        <v>599</v>
      </c>
      <c r="C114" s="1">
        <v>194</v>
      </c>
      <c r="D114">
        <f t="shared" si="1"/>
        <v>405</v>
      </c>
      <c r="E114" s="54" t="str" cm="1">
        <f t="array" ref="E114">_xlfn.IFS(AND(D113&gt;D114,D113&gt;D115),"Instagram has gained Highest Followers",AND(D114&gt;D113,D114&gt;D115),"Twitter has gained Highest Followers",AND(D115&gt;D114,D115&gt;D113),"Youtube has gained Highest Followers")</f>
        <v>Instagram has gained Highest Followers</v>
      </c>
      <c r="F114" s="54"/>
      <c r="G114" s="54"/>
      <c r="H114" s="54"/>
    </row>
    <row r="115" spans="1:8" x14ac:dyDescent="0.25">
      <c r="A115" s="7" t="s">
        <v>12</v>
      </c>
      <c r="B115" s="1">
        <v>630</v>
      </c>
      <c r="C115" s="1">
        <v>248</v>
      </c>
      <c r="D115">
        <f t="shared" si="1"/>
        <v>382</v>
      </c>
    </row>
    <row r="116" spans="1:8" x14ac:dyDescent="0.25">
      <c r="A116" s="12">
        <v>45642</v>
      </c>
      <c r="B116" s="1">
        <v>3164</v>
      </c>
      <c r="C116" s="1">
        <v>471</v>
      </c>
      <c r="D116" s="13">
        <f t="shared" si="1"/>
        <v>2693</v>
      </c>
    </row>
    <row r="117" spans="1:8" x14ac:dyDescent="0.25">
      <c r="A117" s="7" t="s">
        <v>11</v>
      </c>
      <c r="B117" s="1">
        <v>1350</v>
      </c>
      <c r="C117" s="1">
        <v>233</v>
      </c>
      <c r="D117">
        <f t="shared" si="1"/>
        <v>1117</v>
      </c>
    </row>
    <row r="118" spans="1:8" x14ac:dyDescent="0.25">
      <c r="A118" s="7" t="s">
        <v>17</v>
      </c>
      <c r="B118" s="1">
        <v>632</v>
      </c>
      <c r="C118" s="1">
        <v>155</v>
      </c>
      <c r="D118">
        <f t="shared" si="1"/>
        <v>477</v>
      </c>
      <c r="E118" s="54" t="str" cm="1">
        <f t="array" ref="E118">_xlfn.IFS(AND(D117&gt;D118,D117&gt;D119),"Instagram has gained Highest Followers",AND(D118&gt;D117,D118&gt;D119),"Twitter has gained Highest Followers",AND(D119&gt;D118,D119&gt;D117),"Youtube has gained Highest Followers")</f>
        <v>Instagram has gained Highest Followers</v>
      </c>
      <c r="F118" s="54"/>
      <c r="G118" s="54"/>
      <c r="H118" s="54"/>
    </row>
    <row r="119" spans="1:8" x14ac:dyDescent="0.25">
      <c r="A119" s="7" t="s">
        <v>12</v>
      </c>
      <c r="B119" s="1">
        <v>1182</v>
      </c>
      <c r="C119" s="1">
        <v>83</v>
      </c>
      <c r="D119">
        <f t="shared" si="1"/>
        <v>1099</v>
      </c>
    </row>
    <row r="120" spans="1:8" x14ac:dyDescent="0.25">
      <c r="A120" s="12">
        <v>45649</v>
      </c>
      <c r="B120" s="1">
        <v>2956</v>
      </c>
      <c r="C120" s="1">
        <v>406</v>
      </c>
      <c r="D120" s="13">
        <f t="shared" si="1"/>
        <v>2550</v>
      </c>
    </row>
    <row r="121" spans="1:8" x14ac:dyDescent="0.25">
      <c r="A121" s="7" t="s">
        <v>11</v>
      </c>
      <c r="B121" s="1">
        <v>661</v>
      </c>
      <c r="C121" s="1">
        <v>94</v>
      </c>
      <c r="D121">
        <f t="shared" si="1"/>
        <v>567</v>
      </c>
    </row>
    <row r="122" spans="1:8" x14ac:dyDescent="0.25">
      <c r="A122" s="7" t="s">
        <v>17</v>
      </c>
      <c r="B122" s="1">
        <v>1360</v>
      </c>
      <c r="C122" s="1">
        <v>227</v>
      </c>
      <c r="D122">
        <f t="shared" si="1"/>
        <v>1133</v>
      </c>
      <c r="E122" s="54" t="str" cm="1">
        <f t="array" ref="E122">_xlfn.IFS(AND(D121&gt;D122,D121&gt;D123),"Instagram has gained Highest Followers",AND(D122&gt;D121,D122&gt;D123),"Twitter has gained Highest Followers",AND(D123&gt;D122,D123&gt;D121),"Youtube has gained Highest Followers")</f>
        <v>Twitter has gained Highest Followers</v>
      </c>
      <c r="F122" s="54"/>
      <c r="G122" s="54"/>
      <c r="H122" s="54"/>
    </row>
    <row r="123" spans="1:8" x14ac:dyDescent="0.25">
      <c r="A123" s="7" t="s">
        <v>12</v>
      </c>
      <c r="B123" s="1">
        <v>935</v>
      </c>
      <c r="C123" s="1">
        <v>85</v>
      </c>
      <c r="D123">
        <f t="shared" si="1"/>
        <v>850</v>
      </c>
    </row>
    <row r="124" spans="1:8" x14ac:dyDescent="0.25">
      <c r="A124" s="12">
        <v>45656</v>
      </c>
      <c r="B124" s="1">
        <v>2755</v>
      </c>
      <c r="C124" s="1">
        <v>418</v>
      </c>
      <c r="D124" s="13">
        <f t="shared" si="1"/>
        <v>2337</v>
      </c>
    </row>
    <row r="125" spans="1:8" x14ac:dyDescent="0.25">
      <c r="A125" s="7" t="s">
        <v>11</v>
      </c>
      <c r="B125" s="1">
        <v>664</v>
      </c>
      <c r="C125" s="1">
        <v>251</v>
      </c>
      <c r="D125">
        <f t="shared" si="1"/>
        <v>413</v>
      </c>
    </row>
    <row r="126" spans="1:8" x14ac:dyDescent="0.25">
      <c r="A126" s="7" t="s">
        <v>17</v>
      </c>
      <c r="B126" s="1">
        <v>1490</v>
      </c>
      <c r="C126" s="1">
        <v>103</v>
      </c>
      <c r="D126">
        <f t="shared" si="1"/>
        <v>1387</v>
      </c>
      <c r="E126" s="54" t="str" cm="1">
        <f t="array" ref="E126">_xlfn.IFS(AND(D125&gt;D126,D125&gt;D127),"Instagram has gained Highest Followers",AND(D126&gt;D125,D126&gt;D127),"Twitter has gained Highest Followers",AND(D127&gt;D126,D127&gt;D125),"Youtube has gained Highest Followers")</f>
        <v>Twitter has gained Highest Followers</v>
      </c>
      <c r="F126" s="54"/>
      <c r="G126" s="54"/>
      <c r="H126" s="54"/>
    </row>
    <row r="127" spans="1:8" x14ac:dyDescent="0.25">
      <c r="A127" s="7" t="s">
        <v>12</v>
      </c>
      <c r="B127" s="1">
        <v>601</v>
      </c>
      <c r="C127" s="1">
        <v>64</v>
      </c>
      <c r="D127">
        <f t="shared" si="1"/>
        <v>537</v>
      </c>
    </row>
    <row r="128" spans="1:8" x14ac:dyDescent="0.25">
      <c r="A128" s="12">
        <v>45663</v>
      </c>
      <c r="B128" s="1">
        <v>2906</v>
      </c>
      <c r="C128" s="1">
        <v>455</v>
      </c>
      <c r="D128" s="13">
        <f t="shared" si="1"/>
        <v>2451</v>
      </c>
    </row>
    <row r="129" spans="1:8" x14ac:dyDescent="0.25">
      <c r="A129" s="7" t="s">
        <v>11</v>
      </c>
      <c r="B129" s="1">
        <v>613</v>
      </c>
      <c r="C129" s="1">
        <v>170</v>
      </c>
      <c r="D129">
        <f t="shared" si="1"/>
        <v>443</v>
      </c>
    </row>
    <row r="130" spans="1:8" x14ac:dyDescent="0.25">
      <c r="A130" s="7" t="s">
        <v>17</v>
      </c>
      <c r="B130" s="1">
        <v>1340</v>
      </c>
      <c r="C130" s="1">
        <v>57</v>
      </c>
      <c r="D130">
        <f t="shared" si="1"/>
        <v>1283</v>
      </c>
      <c r="E130" s="54" t="str" cm="1">
        <f t="array" ref="E130">_xlfn.IFS(AND(D129&gt;D130,D129&gt;D131),"Instagram has gained Highest Followers",AND(D130&gt;D129,D130&gt;D131),"Twitter has gained Highest Followers",AND(D131&gt;D130,D131&gt;D129),"Youtube has gained Highest Followers")</f>
        <v>Twitter has gained Highest Followers</v>
      </c>
      <c r="F130" s="54"/>
      <c r="G130" s="54"/>
      <c r="H130" s="54"/>
    </row>
    <row r="131" spans="1:8" x14ac:dyDescent="0.25">
      <c r="A131" s="7" t="s">
        <v>12</v>
      </c>
      <c r="B131" s="1">
        <v>953</v>
      </c>
      <c r="C131" s="1">
        <v>228</v>
      </c>
      <c r="D131">
        <f t="shared" si="1"/>
        <v>725</v>
      </c>
    </row>
    <row r="132" spans="1:8" x14ac:dyDescent="0.25">
      <c r="A132" s="12">
        <v>45670</v>
      </c>
      <c r="B132" s="1">
        <v>2631</v>
      </c>
      <c r="C132" s="1">
        <v>290</v>
      </c>
      <c r="D132" s="13">
        <f t="shared" si="1"/>
        <v>2341</v>
      </c>
    </row>
    <row r="133" spans="1:8" x14ac:dyDescent="0.25">
      <c r="A133" s="7" t="s">
        <v>11</v>
      </c>
      <c r="B133" s="1">
        <v>532</v>
      </c>
      <c r="C133" s="1">
        <v>65</v>
      </c>
      <c r="D133">
        <f t="shared" si="1"/>
        <v>467</v>
      </c>
    </row>
    <row r="134" spans="1:8" x14ac:dyDescent="0.25">
      <c r="A134" s="7" t="s">
        <v>17</v>
      </c>
      <c r="B134" s="1">
        <v>1414</v>
      </c>
      <c r="C134" s="1">
        <v>60</v>
      </c>
      <c r="D134">
        <f t="shared" ref="D134:D197" si="2">B134-C134</f>
        <v>1354</v>
      </c>
      <c r="E134" s="54" t="str" cm="1">
        <f t="array" ref="E134">_xlfn.IFS(AND(D133&gt;D134,D133&gt;D135),"Instagram has gained Highest Followers",AND(D134&gt;D133,D134&gt;D135),"Twitter has gained Highest Followers",AND(D135&gt;D134,D135&gt;D133),"Youtube has gained Highest Followers")</f>
        <v>Twitter has gained Highest Followers</v>
      </c>
      <c r="F134" s="54"/>
      <c r="G134" s="54"/>
      <c r="H134" s="54"/>
    </row>
    <row r="135" spans="1:8" x14ac:dyDescent="0.25">
      <c r="A135" s="7" t="s">
        <v>12</v>
      </c>
      <c r="B135" s="1">
        <v>685</v>
      </c>
      <c r="C135" s="1">
        <v>165</v>
      </c>
      <c r="D135">
        <f t="shared" si="2"/>
        <v>520</v>
      </c>
    </row>
    <row r="136" spans="1:8" x14ac:dyDescent="0.25">
      <c r="A136" s="12">
        <v>45677</v>
      </c>
      <c r="B136" s="1">
        <v>2547</v>
      </c>
      <c r="C136" s="1">
        <v>715</v>
      </c>
      <c r="D136" s="13">
        <f t="shared" si="2"/>
        <v>1832</v>
      </c>
    </row>
    <row r="137" spans="1:8" x14ac:dyDescent="0.25">
      <c r="A137" s="7" t="s">
        <v>11</v>
      </c>
      <c r="B137" s="1">
        <v>601</v>
      </c>
      <c r="C137" s="1">
        <v>159</v>
      </c>
      <c r="D137">
        <f t="shared" si="2"/>
        <v>442</v>
      </c>
    </row>
    <row r="138" spans="1:8" x14ac:dyDescent="0.25">
      <c r="A138" s="7" t="s">
        <v>17</v>
      </c>
      <c r="B138" s="1">
        <v>841</v>
      </c>
      <c r="C138" s="1">
        <v>295</v>
      </c>
      <c r="D138">
        <f t="shared" si="2"/>
        <v>546</v>
      </c>
      <c r="E138" s="54" t="str" cm="1">
        <f t="array" ref="E138">_xlfn.IFS(AND(D137&gt;D138,D137&gt;D139),"Instagram has gained Highest Followers",AND(D138&gt;D137,D138&gt;D139),"Twitter has gained Highest Followers",AND(D139&gt;D138,D139&gt;D137),"Youtube has gained Highest Followers")</f>
        <v>Youtube has gained Highest Followers</v>
      </c>
      <c r="F138" s="54"/>
      <c r="G138" s="54"/>
      <c r="H138" s="54"/>
    </row>
    <row r="139" spans="1:8" x14ac:dyDescent="0.25">
      <c r="A139" s="7" t="s">
        <v>12</v>
      </c>
      <c r="B139" s="1">
        <v>1105</v>
      </c>
      <c r="C139" s="1">
        <v>261</v>
      </c>
      <c r="D139">
        <f t="shared" si="2"/>
        <v>844</v>
      </c>
    </row>
    <row r="140" spans="1:8" x14ac:dyDescent="0.25">
      <c r="A140" s="12">
        <v>45684</v>
      </c>
      <c r="B140" s="1">
        <v>2534</v>
      </c>
      <c r="C140" s="1">
        <v>606</v>
      </c>
      <c r="D140" s="13">
        <f t="shared" si="2"/>
        <v>1928</v>
      </c>
    </row>
    <row r="141" spans="1:8" x14ac:dyDescent="0.25">
      <c r="A141" s="7" t="s">
        <v>11</v>
      </c>
      <c r="B141" s="1">
        <v>566</v>
      </c>
      <c r="C141" s="1">
        <v>225</v>
      </c>
      <c r="D141">
        <f t="shared" si="2"/>
        <v>341</v>
      </c>
    </row>
    <row r="142" spans="1:8" x14ac:dyDescent="0.25">
      <c r="A142" s="7" t="s">
        <v>17</v>
      </c>
      <c r="B142" s="1">
        <v>1149</v>
      </c>
      <c r="C142" s="1">
        <v>280</v>
      </c>
      <c r="D142">
        <f t="shared" si="2"/>
        <v>869</v>
      </c>
      <c r="E142" s="54" t="str" cm="1">
        <f t="array" ref="E142">_xlfn.IFS(AND(D141&gt;D142,D141&gt;D143),"Instagram has gained Highest Followers",AND(D142&gt;D141,D142&gt;D143),"Twitter has gained Highest Followers",AND(D143&gt;D142,D143&gt;D141),"Youtube has gained Highest Followers")</f>
        <v>Twitter has gained Highest Followers</v>
      </c>
      <c r="F142" s="54"/>
      <c r="G142" s="54"/>
      <c r="H142" s="54"/>
    </row>
    <row r="143" spans="1:8" x14ac:dyDescent="0.25">
      <c r="A143" s="7" t="s">
        <v>12</v>
      </c>
      <c r="B143" s="1">
        <v>819</v>
      </c>
      <c r="C143" s="1">
        <v>101</v>
      </c>
      <c r="D143">
        <f t="shared" si="2"/>
        <v>718</v>
      </c>
    </row>
    <row r="144" spans="1:8" x14ac:dyDescent="0.25">
      <c r="A144" s="12">
        <v>45691</v>
      </c>
      <c r="B144" s="1">
        <v>2010</v>
      </c>
      <c r="C144" s="1">
        <v>330</v>
      </c>
      <c r="D144" s="13">
        <f t="shared" si="2"/>
        <v>1680</v>
      </c>
    </row>
    <row r="145" spans="1:8" x14ac:dyDescent="0.25">
      <c r="A145" s="7" t="s">
        <v>11</v>
      </c>
      <c r="B145" s="1">
        <v>795</v>
      </c>
      <c r="C145" s="1">
        <v>60</v>
      </c>
      <c r="D145">
        <f t="shared" si="2"/>
        <v>735</v>
      </c>
    </row>
    <row r="146" spans="1:8" x14ac:dyDescent="0.25">
      <c r="A146" s="7" t="s">
        <v>17</v>
      </c>
      <c r="B146" s="1">
        <v>681</v>
      </c>
      <c r="C146" s="1">
        <v>158</v>
      </c>
      <c r="D146">
        <f t="shared" si="2"/>
        <v>523</v>
      </c>
      <c r="E146" s="54" t="str" cm="1">
        <f t="array" ref="E146">_xlfn.IFS(AND(D145&gt;D146,D145&gt;D147),"Instagram has gained Highest Followers",AND(D146&gt;D145,D146&gt;D147),"Twitter has gained Highest Followers",AND(D147&gt;D146,D147&gt;D145),"Youtube has gained Highest Followers")</f>
        <v>Instagram has gained Highest Followers</v>
      </c>
      <c r="F146" s="54"/>
      <c r="G146" s="54"/>
      <c r="H146" s="54"/>
    </row>
    <row r="147" spans="1:8" x14ac:dyDescent="0.25">
      <c r="A147" s="7" t="s">
        <v>12</v>
      </c>
      <c r="B147" s="1">
        <v>534</v>
      </c>
      <c r="C147" s="1">
        <v>112</v>
      </c>
      <c r="D147">
        <f t="shared" si="2"/>
        <v>422</v>
      </c>
    </row>
    <row r="148" spans="1:8" x14ac:dyDescent="0.25">
      <c r="A148" s="12">
        <v>45698</v>
      </c>
      <c r="B148" s="1">
        <v>2872</v>
      </c>
      <c r="C148" s="1">
        <v>511</v>
      </c>
      <c r="D148" s="13">
        <f t="shared" si="2"/>
        <v>2361</v>
      </c>
    </row>
    <row r="149" spans="1:8" x14ac:dyDescent="0.25">
      <c r="A149" s="7" t="s">
        <v>11</v>
      </c>
      <c r="B149" s="1">
        <v>1066</v>
      </c>
      <c r="C149" s="1">
        <v>151</v>
      </c>
      <c r="D149">
        <f t="shared" si="2"/>
        <v>915</v>
      </c>
    </row>
    <row r="150" spans="1:8" x14ac:dyDescent="0.25">
      <c r="A150" s="7" t="s">
        <v>17</v>
      </c>
      <c r="B150" s="1">
        <v>1270</v>
      </c>
      <c r="C150" s="1">
        <v>162</v>
      </c>
      <c r="D150">
        <f t="shared" si="2"/>
        <v>1108</v>
      </c>
      <c r="E150" s="54" t="str" cm="1">
        <f t="array" ref="E150">_xlfn.IFS(AND(D149&gt;D150,D149&gt;D151),"Instagram has gained Highest Followers",AND(D150&gt;D149,D150&gt;D151),"Twitter has gained Highest Followers",AND(D151&gt;D150,D151&gt;D149),"Youtube has gained Highest Followers")</f>
        <v>Twitter has gained Highest Followers</v>
      </c>
      <c r="F150" s="54"/>
      <c r="G150" s="54"/>
      <c r="H150" s="54"/>
    </row>
    <row r="151" spans="1:8" x14ac:dyDescent="0.25">
      <c r="A151" s="7" t="s">
        <v>12</v>
      </c>
      <c r="B151" s="1">
        <v>536</v>
      </c>
      <c r="C151" s="1">
        <v>198</v>
      </c>
      <c r="D151">
        <f t="shared" si="2"/>
        <v>338</v>
      </c>
    </row>
    <row r="152" spans="1:8" x14ac:dyDescent="0.25">
      <c r="A152" s="12">
        <v>45705</v>
      </c>
      <c r="B152" s="1">
        <v>2146</v>
      </c>
      <c r="C152" s="1">
        <v>603</v>
      </c>
      <c r="D152" s="13">
        <f t="shared" si="2"/>
        <v>1543</v>
      </c>
    </row>
    <row r="153" spans="1:8" x14ac:dyDescent="0.25">
      <c r="A153" s="7" t="s">
        <v>11</v>
      </c>
      <c r="B153" s="1">
        <v>819</v>
      </c>
      <c r="C153" s="1">
        <v>95</v>
      </c>
      <c r="D153">
        <f t="shared" si="2"/>
        <v>724</v>
      </c>
    </row>
    <row r="154" spans="1:8" x14ac:dyDescent="0.25">
      <c r="A154" s="7" t="s">
        <v>17</v>
      </c>
      <c r="B154" s="1">
        <v>681</v>
      </c>
      <c r="C154" s="1">
        <v>218</v>
      </c>
      <c r="D154">
        <f t="shared" si="2"/>
        <v>463</v>
      </c>
      <c r="E154" s="54" t="str" cm="1">
        <f t="array" ref="E154">_xlfn.IFS(AND(D153&gt;D154,D153&gt;D155),"Instagram has gained Highest Followers",AND(D154&gt;D153,D154&gt;D155),"Twitter has gained Highest Followers",AND(D155&gt;D154,D155&gt;D153),"Youtube has gained Highest Followers")</f>
        <v>Instagram has gained Highest Followers</v>
      </c>
      <c r="F154" s="54"/>
      <c r="G154" s="54"/>
      <c r="H154" s="54"/>
    </row>
    <row r="155" spans="1:8" x14ac:dyDescent="0.25">
      <c r="A155" s="7" t="s">
        <v>12</v>
      </c>
      <c r="B155" s="1">
        <v>646</v>
      </c>
      <c r="C155" s="1">
        <v>290</v>
      </c>
      <c r="D155">
        <f t="shared" si="2"/>
        <v>356</v>
      </c>
    </row>
    <row r="156" spans="1:8" x14ac:dyDescent="0.25">
      <c r="A156" s="12">
        <v>45712</v>
      </c>
      <c r="B156" s="1">
        <v>2509</v>
      </c>
      <c r="C156" s="1">
        <v>796</v>
      </c>
      <c r="D156" s="13">
        <f t="shared" si="2"/>
        <v>1713</v>
      </c>
    </row>
    <row r="157" spans="1:8" x14ac:dyDescent="0.25">
      <c r="A157" s="7" t="s">
        <v>11</v>
      </c>
      <c r="B157" s="1">
        <v>645</v>
      </c>
      <c r="C157" s="1">
        <v>267</v>
      </c>
      <c r="D157">
        <f t="shared" si="2"/>
        <v>378</v>
      </c>
    </row>
    <row r="158" spans="1:8" x14ac:dyDescent="0.25">
      <c r="A158" s="7" t="s">
        <v>17</v>
      </c>
      <c r="B158" s="1">
        <v>886</v>
      </c>
      <c r="C158" s="1">
        <v>250</v>
      </c>
      <c r="D158">
        <f t="shared" si="2"/>
        <v>636</v>
      </c>
      <c r="E158" s="54" t="str" cm="1">
        <f t="array" ref="E158">_xlfn.IFS(AND(D157&gt;D158,D157&gt;D159),"Instagram has gained Highest Followers",AND(D158&gt;D157,D158&gt;D159),"Twitter has gained Highest Followers",AND(D159&gt;D158,D159&gt;D157),"Youtube has gained Highest Followers")</f>
        <v>Youtube has gained Highest Followers</v>
      </c>
      <c r="F158" s="54"/>
      <c r="G158" s="54"/>
      <c r="H158" s="54"/>
    </row>
    <row r="159" spans="1:8" x14ac:dyDescent="0.25">
      <c r="A159" s="7" t="s">
        <v>12</v>
      </c>
      <c r="B159" s="1">
        <v>978</v>
      </c>
      <c r="C159" s="1">
        <v>279</v>
      </c>
      <c r="D159">
        <f t="shared" si="2"/>
        <v>699</v>
      </c>
    </row>
    <row r="160" spans="1:8" x14ac:dyDescent="0.25">
      <c r="A160" s="12">
        <v>45719</v>
      </c>
      <c r="B160" s="1">
        <v>3343</v>
      </c>
      <c r="C160" s="1">
        <v>580</v>
      </c>
      <c r="D160" s="13">
        <f t="shared" si="2"/>
        <v>2763</v>
      </c>
    </row>
    <row r="161" spans="1:8" x14ac:dyDescent="0.25">
      <c r="A161" s="7" t="s">
        <v>11</v>
      </c>
      <c r="B161" s="1">
        <v>1444</v>
      </c>
      <c r="C161" s="1">
        <v>165</v>
      </c>
      <c r="D161">
        <f t="shared" si="2"/>
        <v>1279</v>
      </c>
    </row>
    <row r="162" spans="1:8" x14ac:dyDescent="0.25">
      <c r="A162" s="7" t="s">
        <v>17</v>
      </c>
      <c r="B162" s="1">
        <v>1234</v>
      </c>
      <c r="C162" s="1">
        <v>228</v>
      </c>
      <c r="D162">
        <f t="shared" si="2"/>
        <v>1006</v>
      </c>
      <c r="E162" s="54" t="str" cm="1">
        <f t="array" ref="E162">_xlfn.IFS(AND(D161&gt;D162,D161&gt;D163),"Instagram has gained Highest Followers",AND(D162&gt;D161,D162&gt;D163),"Twitter has gained Highest Followers",AND(D163&gt;D162,D163&gt;D161),"Youtube has gained Highest Followers")</f>
        <v>Instagram has gained Highest Followers</v>
      </c>
      <c r="F162" s="54"/>
      <c r="G162" s="54"/>
      <c r="H162" s="54"/>
    </row>
    <row r="163" spans="1:8" x14ac:dyDescent="0.25">
      <c r="A163" s="7" t="s">
        <v>12</v>
      </c>
      <c r="B163" s="1">
        <v>665</v>
      </c>
      <c r="C163" s="1">
        <v>187</v>
      </c>
      <c r="D163">
        <f t="shared" si="2"/>
        <v>478</v>
      </c>
    </row>
    <row r="164" spans="1:8" x14ac:dyDescent="0.25">
      <c r="A164" s="12">
        <v>45726</v>
      </c>
      <c r="B164" s="1">
        <v>2740</v>
      </c>
      <c r="C164" s="1">
        <v>425</v>
      </c>
      <c r="D164" s="13">
        <f t="shared" si="2"/>
        <v>2315</v>
      </c>
    </row>
    <row r="165" spans="1:8" x14ac:dyDescent="0.25">
      <c r="A165" s="7" t="s">
        <v>11</v>
      </c>
      <c r="B165" s="1">
        <v>631</v>
      </c>
      <c r="C165" s="1">
        <v>86</v>
      </c>
      <c r="D165">
        <f t="shared" si="2"/>
        <v>545</v>
      </c>
    </row>
    <row r="166" spans="1:8" x14ac:dyDescent="0.25">
      <c r="A166" s="7" t="s">
        <v>17</v>
      </c>
      <c r="B166" s="1">
        <v>1159</v>
      </c>
      <c r="C166" s="1">
        <v>154</v>
      </c>
      <c r="D166">
        <f t="shared" si="2"/>
        <v>1005</v>
      </c>
      <c r="E166" s="54" t="str" cm="1">
        <f t="array" ref="E166">_xlfn.IFS(AND(D165&gt;D166,D165&gt;D167),"Instagram has gained Highest Followers",AND(D166&gt;D165,D166&gt;D167),"Twitter has gained Highest Followers",AND(D167&gt;D166,D167&gt;D165),"Youtube has gained Highest Followers")</f>
        <v>Twitter has gained Highest Followers</v>
      </c>
      <c r="F166" s="54"/>
      <c r="G166" s="54"/>
      <c r="H166" s="54"/>
    </row>
    <row r="167" spans="1:8" x14ac:dyDescent="0.25">
      <c r="A167" s="7" t="s">
        <v>12</v>
      </c>
      <c r="B167" s="1">
        <v>950</v>
      </c>
      <c r="C167" s="1">
        <v>185</v>
      </c>
      <c r="D167">
        <f t="shared" si="2"/>
        <v>765</v>
      </c>
    </row>
    <row r="168" spans="1:8" x14ac:dyDescent="0.25">
      <c r="A168" s="12">
        <v>45733</v>
      </c>
      <c r="B168" s="1">
        <v>2543</v>
      </c>
      <c r="C168" s="1">
        <v>355</v>
      </c>
      <c r="D168" s="13">
        <f t="shared" si="2"/>
        <v>2188</v>
      </c>
    </row>
    <row r="169" spans="1:8" x14ac:dyDescent="0.25">
      <c r="A169" s="7" t="s">
        <v>11</v>
      </c>
      <c r="B169" s="1">
        <v>693</v>
      </c>
      <c r="C169" s="1">
        <v>129</v>
      </c>
      <c r="D169">
        <f t="shared" si="2"/>
        <v>564</v>
      </c>
    </row>
    <row r="170" spans="1:8" x14ac:dyDescent="0.25">
      <c r="A170" s="7" t="s">
        <v>17</v>
      </c>
      <c r="B170" s="1">
        <v>576</v>
      </c>
      <c r="C170" s="1">
        <v>80</v>
      </c>
      <c r="D170">
        <f t="shared" si="2"/>
        <v>496</v>
      </c>
      <c r="E170" s="54" t="str" cm="1">
        <f t="array" ref="E170">_xlfn.IFS(AND(D169&gt;D170,D169&gt;D171),"Instagram has gained Highest Followers",AND(D170&gt;D169,D170&gt;D171),"Twitter has gained Highest Followers",AND(D171&gt;D170,D171&gt;D169),"Youtube has gained Highest Followers")</f>
        <v>Youtube has gained Highest Followers</v>
      </c>
      <c r="F170" s="54"/>
      <c r="G170" s="54"/>
      <c r="H170" s="54"/>
    </row>
    <row r="171" spans="1:8" x14ac:dyDescent="0.25">
      <c r="A171" s="7" t="s">
        <v>12</v>
      </c>
      <c r="B171" s="1">
        <v>1274</v>
      </c>
      <c r="C171" s="1">
        <v>146</v>
      </c>
      <c r="D171">
        <f t="shared" si="2"/>
        <v>1128</v>
      </c>
    </row>
    <row r="172" spans="1:8" x14ac:dyDescent="0.25">
      <c r="A172" s="12">
        <v>45740</v>
      </c>
      <c r="B172" s="1">
        <v>3191</v>
      </c>
      <c r="C172" s="1">
        <v>512</v>
      </c>
      <c r="D172" s="13">
        <f t="shared" si="2"/>
        <v>2679</v>
      </c>
    </row>
    <row r="173" spans="1:8" x14ac:dyDescent="0.25">
      <c r="A173" s="7" t="s">
        <v>11</v>
      </c>
      <c r="B173" s="1">
        <v>818</v>
      </c>
      <c r="C173" s="1">
        <v>253</v>
      </c>
      <c r="D173">
        <f t="shared" si="2"/>
        <v>565</v>
      </c>
    </row>
    <row r="174" spans="1:8" x14ac:dyDescent="0.25">
      <c r="A174" s="7" t="s">
        <v>17</v>
      </c>
      <c r="B174" s="1">
        <v>975</v>
      </c>
      <c r="C174" s="1">
        <v>162</v>
      </c>
      <c r="D174">
        <f t="shared" si="2"/>
        <v>813</v>
      </c>
      <c r="E174" s="54" t="str" cm="1">
        <f t="array" ref="E174">_xlfn.IFS(AND(D173&gt;D174,D173&gt;D175),"Instagram has gained Highest Followers",AND(D174&gt;D173,D174&gt;D175),"Twitter has gained Highest Followers",AND(D175&gt;D174,D175&gt;D173),"Youtube has gained Highest Followers")</f>
        <v>Youtube has gained Highest Followers</v>
      </c>
      <c r="F174" s="54"/>
      <c r="G174" s="54"/>
      <c r="H174" s="54"/>
    </row>
    <row r="175" spans="1:8" x14ac:dyDescent="0.25">
      <c r="A175" s="7" t="s">
        <v>12</v>
      </c>
      <c r="B175" s="1">
        <v>1398</v>
      </c>
      <c r="C175" s="1">
        <v>97</v>
      </c>
      <c r="D175">
        <f t="shared" si="2"/>
        <v>1301</v>
      </c>
    </row>
    <row r="176" spans="1:8" x14ac:dyDescent="0.25">
      <c r="A176" s="12">
        <v>45747</v>
      </c>
      <c r="B176" s="1">
        <v>3248</v>
      </c>
      <c r="C176" s="1">
        <v>467</v>
      </c>
      <c r="D176" s="13">
        <f t="shared" si="2"/>
        <v>2781</v>
      </c>
    </row>
    <row r="177" spans="1:8" x14ac:dyDescent="0.25">
      <c r="A177" s="7" t="s">
        <v>11</v>
      </c>
      <c r="B177" s="1">
        <v>591</v>
      </c>
      <c r="C177" s="1">
        <v>155</v>
      </c>
      <c r="D177">
        <f t="shared" si="2"/>
        <v>436</v>
      </c>
    </row>
    <row r="178" spans="1:8" x14ac:dyDescent="0.25">
      <c r="A178" s="7" t="s">
        <v>17</v>
      </c>
      <c r="B178" s="1">
        <v>1232</v>
      </c>
      <c r="C178" s="1">
        <v>254</v>
      </c>
      <c r="D178">
        <f t="shared" si="2"/>
        <v>978</v>
      </c>
      <c r="E178" s="54" t="str" cm="1">
        <f t="array" ref="E178">_xlfn.IFS(AND(D177&gt;D178,D177&gt;D179),"Instagram has gained Highest Followers",AND(D178&gt;D177,D178&gt;D179),"Twitter has gained Highest Followers",AND(D179&gt;D178,D179&gt;D177),"Youtube has gained Highest Followers")</f>
        <v>Youtube has gained Highest Followers</v>
      </c>
      <c r="F178" s="54"/>
      <c r="G178" s="54"/>
      <c r="H178" s="54"/>
    </row>
    <row r="179" spans="1:8" x14ac:dyDescent="0.25">
      <c r="A179" s="7" t="s">
        <v>12</v>
      </c>
      <c r="B179" s="1">
        <v>1425</v>
      </c>
      <c r="C179" s="1">
        <v>58</v>
      </c>
      <c r="D179">
        <f t="shared" si="2"/>
        <v>1367</v>
      </c>
    </row>
    <row r="180" spans="1:8" x14ac:dyDescent="0.25">
      <c r="A180" s="12">
        <v>45754</v>
      </c>
      <c r="B180" s="1">
        <v>3710</v>
      </c>
      <c r="C180" s="1">
        <v>419</v>
      </c>
      <c r="D180" s="13">
        <f t="shared" si="2"/>
        <v>3291</v>
      </c>
    </row>
    <row r="181" spans="1:8" x14ac:dyDescent="0.25">
      <c r="A181" s="7" t="s">
        <v>11</v>
      </c>
      <c r="B181" s="1">
        <v>1417</v>
      </c>
      <c r="C181" s="1">
        <v>80</v>
      </c>
      <c r="D181">
        <f t="shared" si="2"/>
        <v>1337</v>
      </c>
    </row>
    <row r="182" spans="1:8" x14ac:dyDescent="0.25">
      <c r="A182" s="7" t="s">
        <v>17</v>
      </c>
      <c r="B182" s="1">
        <v>1222</v>
      </c>
      <c r="C182" s="1">
        <v>208</v>
      </c>
      <c r="D182">
        <f t="shared" si="2"/>
        <v>1014</v>
      </c>
      <c r="E182" s="54" t="str" cm="1">
        <f t="array" ref="E182">_xlfn.IFS(AND(D181&gt;D182,D181&gt;D183),"Instagram has gained Highest Followers",AND(D182&gt;D181,D182&gt;D183),"Twitter has gained Highest Followers",AND(D183&gt;D182,D183&gt;D181),"Youtube has gained Highest Followers")</f>
        <v>Instagram has gained Highest Followers</v>
      </c>
      <c r="F182" s="54"/>
      <c r="G182" s="54"/>
      <c r="H182" s="54"/>
    </row>
    <row r="183" spans="1:8" x14ac:dyDescent="0.25">
      <c r="A183" s="7" t="s">
        <v>12</v>
      </c>
      <c r="B183" s="1">
        <v>1071</v>
      </c>
      <c r="C183" s="1">
        <v>131</v>
      </c>
      <c r="D183">
        <f t="shared" si="2"/>
        <v>940</v>
      </c>
    </row>
    <row r="184" spans="1:8" x14ac:dyDescent="0.25">
      <c r="A184" s="12">
        <v>45761</v>
      </c>
      <c r="B184" s="1">
        <v>3716</v>
      </c>
      <c r="C184" s="1">
        <v>500</v>
      </c>
      <c r="D184" s="13">
        <f t="shared" si="2"/>
        <v>3216</v>
      </c>
    </row>
    <row r="185" spans="1:8" x14ac:dyDescent="0.25">
      <c r="A185" s="7" t="s">
        <v>11</v>
      </c>
      <c r="B185" s="1">
        <v>772</v>
      </c>
      <c r="C185" s="1">
        <v>82</v>
      </c>
      <c r="D185">
        <f t="shared" si="2"/>
        <v>690</v>
      </c>
    </row>
    <row r="186" spans="1:8" x14ac:dyDescent="0.25">
      <c r="A186" s="7" t="s">
        <v>17</v>
      </c>
      <c r="B186" s="1">
        <v>1472</v>
      </c>
      <c r="C186" s="1">
        <v>137</v>
      </c>
      <c r="D186">
        <f t="shared" si="2"/>
        <v>1335</v>
      </c>
      <c r="E186" s="54" t="str" cm="1">
        <f t="array" ref="E186">_xlfn.IFS(AND(D185&gt;D186,D185&gt;D187),"Instagram has gained Highest Followers",AND(D186&gt;D185,D186&gt;D187),"Twitter has gained Highest Followers",AND(D187&gt;D186,D187&gt;D185),"Youtube has gained Highest Followers")</f>
        <v>Twitter has gained Highest Followers</v>
      </c>
      <c r="F186" s="54"/>
      <c r="G186" s="54"/>
      <c r="H186" s="54"/>
    </row>
    <row r="187" spans="1:8" x14ac:dyDescent="0.25">
      <c r="A187" s="7" t="s">
        <v>12</v>
      </c>
      <c r="B187" s="1">
        <v>1472</v>
      </c>
      <c r="C187" s="1">
        <v>281</v>
      </c>
      <c r="D187">
        <f t="shared" si="2"/>
        <v>1191</v>
      </c>
    </row>
    <row r="188" spans="1:8" x14ac:dyDescent="0.25">
      <c r="A188" s="12">
        <v>45768</v>
      </c>
      <c r="B188" s="1">
        <v>2445</v>
      </c>
      <c r="C188" s="1">
        <v>717</v>
      </c>
      <c r="D188" s="13">
        <f t="shared" si="2"/>
        <v>1728</v>
      </c>
    </row>
    <row r="189" spans="1:8" x14ac:dyDescent="0.25">
      <c r="A189" s="7" t="s">
        <v>11</v>
      </c>
      <c r="B189" s="1">
        <v>585</v>
      </c>
      <c r="C189" s="1">
        <v>232</v>
      </c>
      <c r="D189">
        <f t="shared" si="2"/>
        <v>353</v>
      </c>
    </row>
    <row r="190" spans="1:8" x14ac:dyDescent="0.25">
      <c r="A190" s="7" t="s">
        <v>17</v>
      </c>
      <c r="B190" s="1">
        <v>747</v>
      </c>
      <c r="C190" s="1">
        <v>261</v>
      </c>
      <c r="D190">
        <f t="shared" si="2"/>
        <v>486</v>
      </c>
      <c r="E190" s="54" t="str" cm="1">
        <f t="array" ref="E190">_xlfn.IFS(AND(D189&gt;D190,D189&gt;D191),"Instagram has gained Highest Followers",AND(D190&gt;D189,D190&gt;D191),"Twitter has gained Highest Followers",AND(D191&gt;D190,D191&gt;D189),"Youtube has gained Highest Followers")</f>
        <v>Youtube has gained Highest Followers</v>
      </c>
      <c r="F190" s="54"/>
      <c r="G190" s="54"/>
      <c r="H190" s="54"/>
    </row>
    <row r="191" spans="1:8" x14ac:dyDescent="0.25">
      <c r="A191" s="7" t="s">
        <v>12</v>
      </c>
      <c r="B191" s="1">
        <v>1113</v>
      </c>
      <c r="C191" s="1">
        <v>224</v>
      </c>
      <c r="D191">
        <f t="shared" si="2"/>
        <v>889</v>
      </c>
    </row>
    <row r="192" spans="1:8" x14ac:dyDescent="0.25">
      <c r="A192" s="12">
        <v>45775</v>
      </c>
      <c r="B192" s="1">
        <v>2715</v>
      </c>
      <c r="C192" s="1">
        <v>337</v>
      </c>
      <c r="D192" s="13">
        <f t="shared" si="2"/>
        <v>2378</v>
      </c>
    </row>
    <row r="193" spans="1:8" x14ac:dyDescent="0.25">
      <c r="A193" s="7" t="s">
        <v>11</v>
      </c>
      <c r="B193" s="1">
        <v>1100</v>
      </c>
      <c r="C193" s="1">
        <v>117</v>
      </c>
      <c r="D193">
        <f t="shared" si="2"/>
        <v>983</v>
      </c>
    </row>
    <row r="194" spans="1:8" x14ac:dyDescent="0.25">
      <c r="A194" s="7" t="s">
        <v>17</v>
      </c>
      <c r="B194" s="1">
        <v>751</v>
      </c>
      <c r="C194" s="1">
        <v>170</v>
      </c>
      <c r="D194">
        <f t="shared" si="2"/>
        <v>581</v>
      </c>
      <c r="E194" s="54" t="str" cm="1">
        <f t="array" ref="E194">_xlfn.IFS(AND(D193&gt;D194,D193&gt;D195),"Instagram has gained Highest Followers",AND(D194&gt;D193,D194&gt;D195),"Twitter has gained Highest Followers",AND(D195&gt;D194,D195&gt;D193),"Youtube has gained Highest Followers")</f>
        <v>Instagram has gained Highest Followers</v>
      </c>
      <c r="F194" s="54"/>
      <c r="G194" s="54"/>
      <c r="H194" s="54"/>
    </row>
    <row r="195" spans="1:8" x14ac:dyDescent="0.25">
      <c r="A195" s="7" t="s">
        <v>12</v>
      </c>
      <c r="B195" s="1">
        <v>864</v>
      </c>
      <c r="C195" s="1">
        <v>50</v>
      </c>
      <c r="D195">
        <f t="shared" si="2"/>
        <v>814</v>
      </c>
    </row>
    <row r="196" spans="1:8" x14ac:dyDescent="0.25">
      <c r="A196" s="12">
        <v>45782</v>
      </c>
      <c r="B196" s="1">
        <v>2651</v>
      </c>
      <c r="C196" s="1">
        <v>597</v>
      </c>
      <c r="D196" s="13">
        <f t="shared" si="2"/>
        <v>2054</v>
      </c>
    </row>
    <row r="197" spans="1:8" x14ac:dyDescent="0.25">
      <c r="A197" s="7" t="s">
        <v>11</v>
      </c>
      <c r="B197" s="1">
        <v>1146</v>
      </c>
      <c r="C197" s="1">
        <v>227</v>
      </c>
      <c r="D197">
        <f t="shared" si="2"/>
        <v>919</v>
      </c>
    </row>
    <row r="198" spans="1:8" x14ac:dyDescent="0.25">
      <c r="A198" s="7" t="s">
        <v>17</v>
      </c>
      <c r="B198" s="1">
        <v>883</v>
      </c>
      <c r="C198" s="1">
        <v>207</v>
      </c>
      <c r="D198">
        <f t="shared" ref="D198:D261" si="3">B198-C198</f>
        <v>676</v>
      </c>
      <c r="E198" s="54" t="str" cm="1">
        <f t="array" ref="E198">_xlfn.IFS(AND(D197&gt;D198,D197&gt;D199),"Instagram has gained Highest Followers",AND(D198&gt;D197,D198&gt;D199),"Twitter has gained Highest Followers",AND(D199&gt;D198,D199&gt;D197),"Youtube has gained Highest Followers")</f>
        <v>Instagram has gained Highest Followers</v>
      </c>
      <c r="F198" s="54"/>
      <c r="G198" s="54"/>
      <c r="H198" s="54"/>
    </row>
    <row r="199" spans="1:8" x14ac:dyDescent="0.25">
      <c r="A199" s="7" t="s">
        <v>12</v>
      </c>
      <c r="B199" s="1">
        <v>622</v>
      </c>
      <c r="C199" s="1">
        <v>163</v>
      </c>
      <c r="D199">
        <f t="shared" si="3"/>
        <v>459</v>
      </c>
    </row>
    <row r="200" spans="1:8" x14ac:dyDescent="0.25">
      <c r="A200" s="12">
        <v>45789</v>
      </c>
      <c r="B200" s="1">
        <v>2005</v>
      </c>
      <c r="C200" s="1">
        <v>605</v>
      </c>
      <c r="D200" s="13">
        <f t="shared" si="3"/>
        <v>1400</v>
      </c>
    </row>
    <row r="201" spans="1:8" x14ac:dyDescent="0.25">
      <c r="A201" s="7" t="s">
        <v>11</v>
      </c>
      <c r="B201" s="1">
        <v>837</v>
      </c>
      <c r="C201" s="1">
        <v>261</v>
      </c>
      <c r="D201">
        <f t="shared" si="3"/>
        <v>576</v>
      </c>
    </row>
    <row r="202" spans="1:8" x14ac:dyDescent="0.25">
      <c r="A202" s="7" t="s">
        <v>17</v>
      </c>
      <c r="B202" s="1">
        <v>544</v>
      </c>
      <c r="C202" s="1">
        <v>97</v>
      </c>
      <c r="D202">
        <f t="shared" si="3"/>
        <v>447</v>
      </c>
      <c r="E202" s="54" t="str" cm="1">
        <f t="array" ref="E202">_xlfn.IFS(AND(D201&gt;D202,D201&gt;D203),"Instagram has gained Highest Followers",AND(D202&gt;D201,D202&gt;D203),"Twitter has gained Highest Followers",AND(D203&gt;D202,D203&gt;D201),"Youtube has gained Highest Followers")</f>
        <v>Instagram has gained Highest Followers</v>
      </c>
      <c r="F202" s="54"/>
      <c r="G202" s="54"/>
      <c r="H202" s="54"/>
    </row>
    <row r="203" spans="1:8" x14ac:dyDescent="0.25">
      <c r="A203" s="7" t="s">
        <v>12</v>
      </c>
      <c r="B203" s="1">
        <v>624</v>
      </c>
      <c r="C203" s="1">
        <v>247</v>
      </c>
      <c r="D203">
        <f t="shared" si="3"/>
        <v>377</v>
      </c>
    </row>
    <row r="204" spans="1:8" x14ac:dyDescent="0.25">
      <c r="A204" s="12">
        <v>45796</v>
      </c>
      <c r="B204" s="1">
        <v>3861</v>
      </c>
      <c r="C204" s="1">
        <v>292</v>
      </c>
      <c r="D204" s="13">
        <f t="shared" si="3"/>
        <v>3569</v>
      </c>
    </row>
    <row r="205" spans="1:8" x14ac:dyDescent="0.25">
      <c r="A205" s="7" t="s">
        <v>11</v>
      </c>
      <c r="B205" s="1">
        <v>1073</v>
      </c>
      <c r="C205" s="1">
        <v>141</v>
      </c>
      <c r="D205">
        <f t="shared" si="3"/>
        <v>932</v>
      </c>
    </row>
    <row r="206" spans="1:8" x14ac:dyDescent="0.25">
      <c r="A206" s="7" t="s">
        <v>17</v>
      </c>
      <c r="B206" s="1">
        <v>1430</v>
      </c>
      <c r="C206" s="1">
        <v>74</v>
      </c>
      <c r="D206">
        <f t="shared" si="3"/>
        <v>1356</v>
      </c>
      <c r="E206" s="54" t="str" cm="1">
        <f t="array" ref="E206">_xlfn.IFS(AND(D205&gt;D206,D205&gt;D207),"Instagram has gained Highest Followers",AND(D206&gt;D205,D206&gt;D207),"Twitter has gained Highest Followers",AND(D207&gt;D206,D207&gt;D205),"Youtube has gained Highest Followers")</f>
        <v>Twitter has gained Highest Followers</v>
      </c>
      <c r="F206" s="54"/>
      <c r="G206" s="54"/>
      <c r="H206" s="54"/>
    </row>
    <row r="207" spans="1:8" x14ac:dyDescent="0.25">
      <c r="A207" s="7" t="s">
        <v>12</v>
      </c>
      <c r="B207" s="1">
        <v>1358</v>
      </c>
      <c r="C207" s="1">
        <v>77</v>
      </c>
      <c r="D207">
        <f t="shared" si="3"/>
        <v>1281</v>
      </c>
    </row>
    <row r="208" spans="1:8" x14ac:dyDescent="0.25">
      <c r="A208" s="12">
        <v>45803</v>
      </c>
      <c r="B208" s="1">
        <v>3457</v>
      </c>
      <c r="C208" s="1">
        <v>548</v>
      </c>
      <c r="D208" s="13">
        <f t="shared" si="3"/>
        <v>2909</v>
      </c>
    </row>
    <row r="209" spans="1:8" x14ac:dyDescent="0.25">
      <c r="A209" s="7" t="s">
        <v>11</v>
      </c>
      <c r="B209" s="1">
        <v>1242</v>
      </c>
      <c r="C209" s="1">
        <v>201</v>
      </c>
      <c r="D209">
        <f t="shared" si="3"/>
        <v>1041</v>
      </c>
    </row>
    <row r="210" spans="1:8" x14ac:dyDescent="0.25">
      <c r="A210" s="7" t="s">
        <v>17</v>
      </c>
      <c r="B210" s="1">
        <v>1389</v>
      </c>
      <c r="C210" s="1">
        <v>205</v>
      </c>
      <c r="D210">
        <f t="shared" si="3"/>
        <v>1184</v>
      </c>
      <c r="E210" s="54" t="str" cm="1">
        <f t="array" ref="E210">_xlfn.IFS(AND(D209&gt;D210,D209&gt;D211),"Instagram has gained Highest Followers",AND(D210&gt;D209,D210&gt;D211),"Twitter has gained Highest Followers",AND(D211&gt;D210,D211&gt;D209),"Youtube has gained Highest Followers")</f>
        <v>Twitter has gained Highest Followers</v>
      </c>
      <c r="F210" s="54"/>
      <c r="G210" s="54"/>
      <c r="H210" s="54"/>
    </row>
    <row r="211" spans="1:8" x14ac:dyDescent="0.25">
      <c r="A211" s="7" t="s">
        <v>12</v>
      </c>
      <c r="B211" s="1">
        <v>826</v>
      </c>
      <c r="C211" s="1">
        <v>142</v>
      </c>
      <c r="D211">
        <f t="shared" si="3"/>
        <v>684</v>
      </c>
    </row>
    <row r="212" spans="1:8" x14ac:dyDescent="0.25">
      <c r="A212" s="12">
        <v>45810</v>
      </c>
      <c r="B212" s="1">
        <v>2674</v>
      </c>
      <c r="C212" s="1">
        <v>625</v>
      </c>
      <c r="D212" s="13">
        <f t="shared" si="3"/>
        <v>2049</v>
      </c>
    </row>
    <row r="213" spans="1:8" x14ac:dyDescent="0.25">
      <c r="A213" s="7" t="s">
        <v>11</v>
      </c>
      <c r="B213" s="1">
        <v>618</v>
      </c>
      <c r="C213" s="1">
        <v>264</v>
      </c>
      <c r="D213">
        <f t="shared" si="3"/>
        <v>354</v>
      </c>
    </row>
    <row r="214" spans="1:8" x14ac:dyDescent="0.25">
      <c r="A214" s="7" t="s">
        <v>17</v>
      </c>
      <c r="B214" s="1">
        <v>1419</v>
      </c>
      <c r="C214" s="1">
        <v>293</v>
      </c>
      <c r="D214">
        <f t="shared" si="3"/>
        <v>1126</v>
      </c>
      <c r="E214" s="54" t="str" cm="1">
        <f t="array" ref="E214">_xlfn.IFS(AND(D213&gt;D214,D213&gt;D215),"Instagram has gained Highest Followers",AND(D214&gt;D213,D214&gt;D215),"Twitter has gained Highest Followers",AND(D215&gt;D214,D215&gt;D213),"Youtube has gained Highest Followers")</f>
        <v>Twitter has gained Highest Followers</v>
      </c>
      <c r="F214" s="54"/>
      <c r="G214" s="54"/>
      <c r="H214" s="54"/>
    </row>
    <row r="215" spans="1:8" x14ac:dyDescent="0.25">
      <c r="A215" s="7" t="s">
        <v>12</v>
      </c>
      <c r="B215" s="1">
        <v>637</v>
      </c>
      <c r="C215" s="1">
        <v>68</v>
      </c>
      <c r="D215">
        <f t="shared" si="3"/>
        <v>569</v>
      </c>
    </row>
    <row r="216" spans="1:8" x14ac:dyDescent="0.25">
      <c r="A216" s="12">
        <v>45817</v>
      </c>
      <c r="B216" s="1">
        <v>2910</v>
      </c>
      <c r="C216" s="1">
        <v>667</v>
      </c>
      <c r="D216" s="13">
        <f t="shared" si="3"/>
        <v>2243</v>
      </c>
    </row>
    <row r="217" spans="1:8" x14ac:dyDescent="0.25">
      <c r="A217" s="7" t="s">
        <v>11</v>
      </c>
      <c r="B217" s="1">
        <v>917</v>
      </c>
      <c r="C217" s="1">
        <v>187</v>
      </c>
      <c r="D217">
        <f t="shared" si="3"/>
        <v>730</v>
      </c>
    </row>
    <row r="218" spans="1:8" x14ac:dyDescent="0.25">
      <c r="A218" s="7" t="s">
        <v>17</v>
      </c>
      <c r="B218" s="1">
        <v>810</v>
      </c>
      <c r="C218" s="1">
        <v>232</v>
      </c>
      <c r="D218">
        <f t="shared" si="3"/>
        <v>578</v>
      </c>
      <c r="E218" s="54" t="str" cm="1">
        <f t="array" ref="E218">_xlfn.IFS(AND(D217&gt;D218,D217&gt;D219),"Instagram has gained Highest Followers",AND(D218&gt;D217,D218&gt;D219),"Twitter has gained Highest Followers",AND(D219&gt;D218,D219&gt;D217),"Youtube has gained Highest Followers")</f>
        <v>Youtube has gained Highest Followers</v>
      </c>
      <c r="F218" s="54"/>
      <c r="G218" s="54"/>
      <c r="H218" s="54"/>
    </row>
    <row r="219" spans="1:8" x14ac:dyDescent="0.25">
      <c r="A219" s="7" t="s">
        <v>12</v>
      </c>
      <c r="B219" s="1">
        <v>1183</v>
      </c>
      <c r="C219" s="1">
        <v>248</v>
      </c>
      <c r="D219">
        <f t="shared" si="3"/>
        <v>935</v>
      </c>
    </row>
    <row r="220" spans="1:8" x14ac:dyDescent="0.25">
      <c r="A220" s="12">
        <v>45824</v>
      </c>
      <c r="B220" s="1">
        <v>2450</v>
      </c>
      <c r="C220" s="1">
        <v>433</v>
      </c>
      <c r="D220" s="13">
        <f t="shared" si="3"/>
        <v>2017</v>
      </c>
    </row>
    <row r="221" spans="1:8" x14ac:dyDescent="0.25">
      <c r="A221" s="7" t="s">
        <v>11</v>
      </c>
      <c r="B221" s="1">
        <v>765</v>
      </c>
      <c r="C221" s="1">
        <v>67</v>
      </c>
      <c r="D221">
        <f t="shared" si="3"/>
        <v>698</v>
      </c>
    </row>
    <row r="222" spans="1:8" x14ac:dyDescent="0.25">
      <c r="A222" s="7" t="s">
        <v>17</v>
      </c>
      <c r="B222" s="1">
        <v>540</v>
      </c>
      <c r="C222" s="1">
        <v>215</v>
      </c>
      <c r="D222">
        <f t="shared" si="3"/>
        <v>325</v>
      </c>
      <c r="E222" s="54" t="str" cm="1">
        <f t="array" ref="E222">_xlfn.IFS(AND(D221&gt;D222,D221&gt;D223),"Instagram has gained Highest Followers",AND(D222&gt;D221,D222&gt;D223),"Twitter has gained Highest Followers",AND(D223&gt;D222,D223&gt;D221),"Youtube has gained Highest Followers")</f>
        <v>Youtube has gained Highest Followers</v>
      </c>
      <c r="F222" s="54"/>
      <c r="G222" s="54"/>
      <c r="H222" s="54"/>
    </row>
    <row r="223" spans="1:8" x14ac:dyDescent="0.25">
      <c r="A223" s="7" t="s">
        <v>12</v>
      </c>
      <c r="B223" s="1">
        <v>1145</v>
      </c>
      <c r="C223" s="1">
        <v>151</v>
      </c>
      <c r="D223">
        <f t="shared" si="3"/>
        <v>994</v>
      </c>
    </row>
    <row r="224" spans="1:8" x14ac:dyDescent="0.25">
      <c r="A224" s="12">
        <v>45831</v>
      </c>
      <c r="B224" s="1">
        <v>1993</v>
      </c>
      <c r="C224" s="1">
        <v>609</v>
      </c>
      <c r="D224" s="13">
        <f t="shared" si="3"/>
        <v>1384</v>
      </c>
    </row>
    <row r="225" spans="1:8" x14ac:dyDescent="0.25">
      <c r="A225" s="7" t="s">
        <v>11</v>
      </c>
      <c r="B225" s="1">
        <v>564</v>
      </c>
      <c r="C225" s="1">
        <v>244</v>
      </c>
      <c r="D225">
        <f t="shared" si="3"/>
        <v>320</v>
      </c>
    </row>
    <row r="226" spans="1:8" x14ac:dyDescent="0.25">
      <c r="A226" s="7" t="s">
        <v>17</v>
      </c>
      <c r="B226" s="1">
        <v>668</v>
      </c>
      <c r="C226" s="1">
        <v>124</v>
      </c>
      <c r="D226">
        <f t="shared" si="3"/>
        <v>544</v>
      </c>
      <c r="E226" s="54" t="str" cm="1">
        <f t="array" ref="E226">_xlfn.IFS(AND(D225&gt;D226,D225&gt;D227),"Instagram has gained Highest Followers",AND(D226&gt;D225,D226&gt;D227),"Twitter has gained Highest Followers",AND(D227&gt;D226,D227&gt;D225),"Youtube has gained Highest Followers")</f>
        <v>Twitter has gained Highest Followers</v>
      </c>
      <c r="F226" s="54"/>
      <c r="G226" s="54"/>
      <c r="H226" s="54"/>
    </row>
    <row r="227" spans="1:8" x14ac:dyDescent="0.25">
      <c r="A227" s="7" t="s">
        <v>12</v>
      </c>
      <c r="B227" s="1">
        <v>761</v>
      </c>
      <c r="C227" s="1">
        <v>241</v>
      </c>
      <c r="D227">
        <f t="shared" si="3"/>
        <v>520</v>
      </c>
    </row>
    <row r="228" spans="1:8" x14ac:dyDescent="0.25">
      <c r="A228" s="12">
        <v>45838</v>
      </c>
      <c r="B228" s="1">
        <v>2635</v>
      </c>
      <c r="C228" s="1">
        <v>320</v>
      </c>
      <c r="D228" s="13">
        <f t="shared" si="3"/>
        <v>2315</v>
      </c>
    </row>
    <row r="229" spans="1:8" x14ac:dyDescent="0.25">
      <c r="A229" s="7" t="s">
        <v>11</v>
      </c>
      <c r="B229" s="1">
        <v>593</v>
      </c>
      <c r="C229" s="1">
        <v>108</v>
      </c>
      <c r="D229">
        <f t="shared" si="3"/>
        <v>485</v>
      </c>
    </row>
    <row r="230" spans="1:8" x14ac:dyDescent="0.25">
      <c r="A230" s="7" t="s">
        <v>17</v>
      </c>
      <c r="B230" s="1">
        <v>1349</v>
      </c>
      <c r="C230" s="1">
        <v>115</v>
      </c>
      <c r="D230">
        <f t="shared" si="3"/>
        <v>1234</v>
      </c>
      <c r="E230" s="54" t="str" cm="1">
        <f t="array" ref="E230">_xlfn.IFS(AND(D229&gt;D230,D229&gt;D231),"Instagram has gained Highest Followers",AND(D230&gt;D229,D230&gt;D231),"Twitter has gained Highest Followers",AND(D231&gt;D230,D231&gt;D229),"Youtube has gained Highest Followers")</f>
        <v>Twitter has gained Highest Followers</v>
      </c>
      <c r="F230" s="54"/>
      <c r="G230" s="54"/>
      <c r="H230" s="54"/>
    </row>
    <row r="231" spans="1:8" x14ac:dyDescent="0.25">
      <c r="A231" s="7" t="s">
        <v>12</v>
      </c>
      <c r="B231" s="1">
        <v>693</v>
      </c>
      <c r="C231" s="1">
        <v>97</v>
      </c>
      <c r="D231">
        <f t="shared" si="3"/>
        <v>596</v>
      </c>
    </row>
    <row r="232" spans="1:8" x14ac:dyDescent="0.25">
      <c r="A232" s="12">
        <v>45845</v>
      </c>
      <c r="B232" s="1">
        <v>3180</v>
      </c>
      <c r="C232" s="1">
        <v>511</v>
      </c>
      <c r="D232" s="13">
        <f t="shared" si="3"/>
        <v>2669</v>
      </c>
    </row>
    <row r="233" spans="1:8" x14ac:dyDescent="0.25">
      <c r="A233" s="7" t="s">
        <v>11</v>
      </c>
      <c r="B233" s="1">
        <v>974</v>
      </c>
      <c r="C233" s="1">
        <v>143</v>
      </c>
      <c r="D233">
        <f t="shared" si="3"/>
        <v>831</v>
      </c>
    </row>
    <row r="234" spans="1:8" x14ac:dyDescent="0.25">
      <c r="A234" s="7" t="s">
        <v>17</v>
      </c>
      <c r="B234" s="1">
        <v>1155</v>
      </c>
      <c r="C234" s="1">
        <v>122</v>
      </c>
      <c r="D234">
        <f t="shared" si="3"/>
        <v>1033</v>
      </c>
      <c r="E234" s="54" t="str" cm="1">
        <f t="array" ref="E234">_xlfn.IFS(AND(D233&gt;D234,D233&gt;D235),"Instagram has gained Highest Followers",AND(D234&gt;D233,D234&gt;D235),"Twitter has gained Highest Followers",AND(D235&gt;D234,D235&gt;D233),"Youtube has gained Highest Followers")</f>
        <v>Twitter has gained Highest Followers</v>
      </c>
      <c r="F234" s="54"/>
      <c r="G234" s="54"/>
      <c r="H234" s="54"/>
    </row>
    <row r="235" spans="1:8" x14ac:dyDescent="0.25">
      <c r="A235" s="7" t="s">
        <v>12</v>
      </c>
      <c r="B235" s="1">
        <v>1051</v>
      </c>
      <c r="C235" s="1">
        <v>246</v>
      </c>
      <c r="D235">
        <f t="shared" si="3"/>
        <v>805</v>
      </c>
    </row>
    <row r="236" spans="1:8" x14ac:dyDescent="0.25">
      <c r="A236" s="12">
        <v>45852</v>
      </c>
      <c r="B236" s="1">
        <v>3238</v>
      </c>
      <c r="C236" s="1">
        <v>584</v>
      </c>
      <c r="D236" s="13">
        <f t="shared" si="3"/>
        <v>2654</v>
      </c>
    </row>
    <row r="237" spans="1:8" x14ac:dyDescent="0.25">
      <c r="A237" s="7" t="s">
        <v>11</v>
      </c>
      <c r="B237" s="1">
        <v>1457</v>
      </c>
      <c r="C237" s="1">
        <v>183</v>
      </c>
      <c r="D237">
        <f t="shared" si="3"/>
        <v>1274</v>
      </c>
    </row>
    <row r="238" spans="1:8" x14ac:dyDescent="0.25">
      <c r="A238" s="7" t="s">
        <v>17</v>
      </c>
      <c r="B238" s="1">
        <v>670</v>
      </c>
      <c r="C238" s="1">
        <v>242</v>
      </c>
      <c r="D238">
        <f t="shared" si="3"/>
        <v>428</v>
      </c>
      <c r="E238" s="54" t="str" cm="1">
        <f t="array" ref="E238">_xlfn.IFS(AND(D237&gt;D238,D237&gt;D239),"Instagram has gained Highest Followers",AND(D238&gt;D237,D238&gt;D239),"Twitter has gained Highest Followers",AND(D239&gt;D238,D239&gt;D237),"Youtube has gained Highest Followers")</f>
        <v>Instagram has gained Highest Followers</v>
      </c>
      <c r="F238" s="54"/>
      <c r="G238" s="54"/>
      <c r="H238" s="54"/>
    </row>
    <row r="239" spans="1:8" x14ac:dyDescent="0.25">
      <c r="A239" s="7" t="s">
        <v>12</v>
      </c>
      <c r="B239" s="1">
        <v>1111</v>
      </c>
      <c r="C239" s="1">
        <v>159</v>
      </c>
      <c r="D239">
        <f t="shared" si="3"/>
        <v>952</v>
      </c>
    </row>
    <row r="240" spans="1:8" x14ac:dyDescent="0.25">
      <c r="A240" s="12">
        <v>45859</v>
      </c>
      <c r="B240" s="1">
        <v>3197</v>
      </c>
      <c r="C240" s="1">
        <v>503</v>
      </c>
      <c r="D240" s="13">
        <f t="shared" si="3"/>
        <v>2694</v>
      </c>
    </row>
    <row r="241" spans="1:8" x14ac:dyDescent="0.25">
      <c r="A241" s="7" t="s">
        <v>11</v>
      </c>
      <c r="B241" s="1">
        <v>1197</v>
      </c>
      <c r="C241" s="1">
        <v>246</v>
      </c>
      <c r="D241">
        <f t="shared" si="3"/>
        <v>951</v>
      </c>
    </row>
    <row r="242" spans="1:8" x14ac:dyDescent="0.25">
      <c r="A242" s="7" t="s">
        <v>17</v>
      </c>
      <c r="B242" s="1">
        <v>754</v>
      </c>
      <c r="C242" s="1">
        <v>150</v>
      </c>
      <c r="D242">
        <f t="shared" si="3"/>
        <v>604</v>
      </c>
      <c r="E242" s="54" t="str" cm="1">
        <f t="array" ref="E242">_xlfn.IFS(AND(D241&gt;D242,D241&gt;D243),"Instagram has gained Highest Followers",AND(D242&gt;D241,D242&gt;D243),"Twitter has gained Highest Followers",AND(D243&gt;D242,D243&gt;D241),"Youtube has gained Highest Followers")</f>
        <v>Youtube has gained Highest Followers</v>
      </c>
      <c r="F242" s="54"/>
      <c r="G242" s="54"/>
      <c r="H242" s="54"/>
    </row>
    <row r="243" spans="1:8" x14ac:dyDescent="0.25">
      <c r="A243" s="7" t="s">
        <v>12</v>
      </c>
      <c r="B243" s="1">
        <v>1246</v>
      </c>
      <c r="C243" s="1">
        <v>107</v>
      </c>
      <c r="D243">
        <f t="shared" si="3"/>
        <v>1139</v>
      </c>
    </row>
    <row r="244" spans="1:8" x14ac:dyDescent="0.25">
      <c r="A244" s="12">
        <v>45866</v>
      </c>
      <c r="B244" s="1">
        <v>3695</v>
      </c>
      <c r="C244" s="1">
        <v>459</v>
      </c>
      <c r="D244" s="13">
        <f t="shared" si="3"/>
        <v>3236</v>
      </c>
    </row>
    <row r="245" spans="1:8" x14ac:dyDescent="0.25">
      <c r="A245" s="7" t="s">
        <v>11</v>
      </c>
      <c r="B245" s="1">
        <v>780</v>
      </c>
      <c r="C245" s="1">
        <v>213</v>
      </c>
      <c r="D245">
        <f t="shared" si="3"/>
        <v>567</v>
      </c>
    </row>
    <row r="246" spans="1:8" x14ac:dyDescent="0.25">
      <c r="A246" s="7" t="s">
        <v>17</v>
      </c>
      <c r="B246" s="1">
        <v>1425</v>
      </c>
      <c r="C246" s="1">
        <v>143</v>
      </c>
      <c r="D246">
        <f t="shared" si="3"/>
        <v>1282</v>
      </c>
      <c r="E246" s="54" t="str" cm="1">
        <f t="array" ref="E246">_xlfn.IFS(AND(D245&gt;D246,D245&gt;D247),"Instagram has gained Highest Followers",AND(D246&gt;D245,D246&gt;D247),"Twitter has gained Highest Followers",AND(D247&gt;D246,D247&gt;D245),"Youtube has gained Highest Followers")</f>
        <v>Youtube has gained Highest Followers</v>
      </c>
      <c r="F246" s="54"/>
      <c r="G246" s="54"/>
      <c r="H246" s="54"/>
    </row>
    <row r="247" spans="1:8" x14ac:dyDescent="0.25">
      <c r="A247" s="7" t="s">
        <v>12</v>
      </c>
      <c r="B247" s="1">
        <v>1490</v>
      </c>
      <c r="C247" s="1">
        <v>103</v>
      </c>
      <c r="D247">
        <f t="shared" si="3"/>
        <v>1387</v>
      </c>
    </row>
    <row r="248" spans="1:8" x14ac:dyDescent="0.25">
      <c r="A248" s="12">
        <v>45873</v>
      </c>
      <c r="B248" s="1">
        <v>2205</v>
      </c>
      <c r="C248" s="1">
        <v>516</v>
      </c>
      <c r="D248" s="13">
        <f t="shared" si="3"/>
        <v>1689</v>
      </c>
    </row>
    <row r="249" spans="1:8" x14ac:dyDescent="0.25">
      <c r="A249" s="7" t="s">
        <v>11</v>
      </c>
      <c r="B249" s="1">
        <v>949</v>
      </c>
      <c r="C249" s="1">
        <v>282</v>
      </c>
      <c r="D249">
        <f t="shared" si="3"/>
        <v>667</v>
      </c>
    </row>
    <row r="250" spans="1:8" x14ac:dyDescent="0.25">
      <c r="A250" s="7" t="s">
        <v>17</v>
      </c>
      <c r="B250" s="1">
        <v>640</v>
      </c>
      <c r="C250" s="1">
        <v>141</v>
      </c>
      <c r="D250">
        <f t="shared" si="3"/>
        <v>499</v>
      </c>
      <c r="E250" s="54" t="str" cm="1">
        <f t="array" ref="E250">_xlfn.IFS(AND(D249&gt;D250,D249&gt;D251),"Instagram has gained Highest Followers",AND(D250&gt;D249,D250&gt;D251),"Twitter has gained Highest Followers",AND(D251&gt;D250,D251&gt;D249),"Youtube has gained Highest Followers")</f>
        <v>Instagram has gained Highest Followers</v>
      </c>
      <c r="F250" s="54"/>
      <c r="G250" s="54"/>
      <c r="H250" s="54"/>
    </row>
    <row r="251" spans="1:8" x14ac:dyDescent="0.25">
      <c r="A251" s="7" t="s">
        <v>12</v>
      </c>
      <c r="B251" s="1">
        <v>616</v>
      </c>
      <c r="C251" s="1">
        <v>93</v>
      </c>
      <c r="D251">
        <f t="shared" si="3"/>
        <v>523</v>
      </c>
    </row>
    <row r="252" spans="1:8" x14ac:dyDescent="0.25">
      <c r="A252" s="12">
        <v>45880</v>
      </c>
      <c r="B252" s="1">
        <v>3025</v>
      </c>
      <c r="C252" s="1">
        <v>678</v>
      </c>
      <c r="D252" s="13">
        <f t="shared" si="3"/>
        <v>2347</v>
      </c>
    </row>
    <row r="253" spans="1:8" x14ac:dyDescent="0.25">
      <c r="A253" s="7" t="s">
        <v>11</v>
      </c>
      <c r="B253" s="1">
        <v>1080</v>
      </c>
      <c r="C253" s="1">
        <v>184</v>
      </c>
      <c r="D253">
        <f t="shared" si="3"/>
        <v>896</v>
      </c>
    </row>
    <row r="254" spans="1:8" x14ac:dyDescent="0.25">
      <c r="A254" s="7" t="s">
        <v>17</v>
      </c>
      <c r="B254" s="1">
        <v>938</v>
      </c>
      <c r="C254" s="1">
        <v>236</v>
      </c>
      <c r="D254">
        <f t="shared" si="3"/>
        <v>702</v>
      </c>
      <c r="E254" s="54" t="str" cm="1">
        <f t="array" ref="E254">_xlfn.IFS(AND(D253&gt;D254,D253&gt;D255),"Instagram has gained Highest Followers",AND(D254&gt;D253,D254&gt;D255),"Twitter has gained Highest Followers",AND(D255&gt;D254,D255&gt;D253),"Youtube has gained Highest Followers")</f>
        <v>Instagram has gained Highest Followers</v>
      </c>
      <c r="F254" s="54"/>
      <c r="G254" s="54"/>
      <c r="H254" s="54"/>
    </row>
    <row r="255" spans="1:8" x14ac:dyDescent="0.25">
      <c r="A255" s="7" t="s">
        <v>12</v>
      </c>
      <c r="B255" s="1">
        <v>1007</v>
      </c>
      <c r="C255" s="1">
        <v>258</v>
      </c>
      <c r="D255">
        <f t="shared" si="3"/>
        <v>749</v>
      </c>
    </row>
    <row r="256" spans="1:8" x14ac:dyDescent="0.25">
      <c r="A256" s="12">
        <v>45887</v>
      </c>
      <c r="B256" s="1">
        <v>2222</v>
      </c>
      <c r="C256" s="1">
        <v>403</v>
      </c>
      <c r="D256" s="13">
        <f t="shared" si="3"/>
        <v>1819</v>
      </c>
    </row>
    <row r="257" spans="1:8" x14ac:dyDescent="0.25">
      <c r="A257" s="7" t="s">
        <v>11</v>
      </c>
      <c r="B257" s="1">
        <v>541</v>
      </c>
      <c r="C257" s="1">
        <v>208</v>
      </c>
      <c r="D257">
        <f t="shared" si="3"/>
        <v>333</v>
      </c>
    </row>
    <row r="258" spans="1:8" x14ac:dyDescent="0.25">
      <c r="A258" s="7" t="s">
        <v>17</v>
      </c>
      <c r="B258" s="1">
        <v>745</v>
      </c>
      <c r="C258" s="1">
        <v>98</v>
      </c>
      <c r="D258">
        <f t="shared" si="3"/>
        <v>647</v>
      </c>
      <c r="E258" s="54" t="str" cm="1">
        <f t="array" ref="E258">_xlfn.IFS(AND(D257&gt;D258,D257&gt;D259),"Instagram has gained Highest Followers",AND(D258&gt;D257,D258&gt;D259),"Twitter has gained Highest Followers",AND(D259&gt;D258,D259&gt;D257),"Youtube has gained Highest Followers")</f>
        <v>Youtube has gained Highest Followers</v>
      </c>
      <c r="F258" s="54"/>
      <c r="G258" s="54"/>
      <c r="H258" s="54"/>
    </row>
    <row r="259" spans="1:8" x14ac:dyDescent="0.25">
      <c r="A259" s="7" t="s">
        <v>12</v>
      </c>
      <c r="B259" s="1">
        <v>936</v>
      </c>
      <c r="C259" s="1">
        <v>97</v>
      </c>
      <c r="D259">
        <f t="shared" si="3"/>
        <v>839</v>
      </c>
    </row>
    <row r="260" spans="1:8" x14ac:dyDescent="0.25">
      <c r="A260" s="12">
        <v>45894</v>
      </c>
      <c r="B260" s="1">
        <v>3387</v>
      </c>
      <c r="C260" s="1">
        <v>741</v>
      </c>
      <c r="D260" s="13">
        <f t="shared" si="3"/>
        <v>2646</v>
      </c>
    </row>
    <row r="261" spans="1:8" x14ac:dyDescent="0.25">
      <c r="A261" s="7" t="s">
        <v>11</v>
      </c>
      <c r="B261" s="1">
        <v>1183</v>
      </c>
      <c r="C261" s="1">
        <v>223</v>
      </c>
      <c r="D261">
        <f t="shared" si="3"/>
        <v>960</v>
      </c>
    </row>
    <row r="262" spans="1:8" x14ac:dyDescent="0.25">
      <c r="A262" s="7" t="s">
        <v>17</v>
      </c>
      <c r="B262" s="1">
        <v>1413</v>
      </c>
      <c r="C262" s="1">
        <v>245</v>
      </c>
      <c r="D262">
        <f t="shared" ref="D262:D271" si="4">B262-C262</f>
        <v>1168</v>
      </c>
      <c r="E262" s="54" t="str" cm="1">
        <f t="array" ref="E262">_xlfn.IFS(AND(D261&gt;D262,D261&gt;D263),"Instagram has gained Highest Followers",AND(D262&gt;D261,D262&gt;D263),"Twitter has gained Highest Followers",AND(D263&gt;D262,D263&gt;D261),"Youtube has gained Highest Followers")</f>
        <v>Twitter has gained Highest Followers</v>
      </c>
      <c r="F262" s="54"/>
      <c r="G262" s="54"/>
      <c r="H262" s="54"/>
    </row>
    <row r="263" spans="1:8" x14ac:dyDescent="0.25">
      <c r="A263" s="7" t="s">
        <v>12</v>
      </c>
      <c r="B263" s="1">
        <v>791</v>
      </c>
      <c r="C263" s="1">
        <v>273</v>
      </c>
      <c r="D263">
        <f t="shared" si="4"/>
        <v>518</v>
      </c>
    </row>
    <row r="264" spans="1:8" x14ac:dyDescent="0.25">
      <c r="A264" s="12">
        <v>45901</v>
      </c>
      <c r="B264" s="1">
        <v>2127</v>
      </c>
      <c r="C264" s="1">
        <v>703</v>
      </c>
      <c r="D264" s="13">
        <f t="shared" si="4"/>
        <v>1424</v>
      </c>
    </row>
    <row r="265" spans="1:8" x14ac:dyDescent="0.25">
      <c r="A265" s="7" t="s">
        <v>11</v>
      </c>
      <c r="B265" s="1">
        <v>1052</v>
      </c>
      <c r="C265" s="1">
        <v>180</v>
      </c>
      <c r="D265">
        <f t="shared" si="4"/>
        <v>872</v>
      </c>
    </row>
    <row r="266" spans="1:8" x14ac:dyDescent="0.25">
      <c r="A266" s="7" t="s">
        <v>17</v>
      </c>
      <c r="B266" s="1">
        <v>572</v>
      </c>
      <c r="C266" s="1">
        <v>270</v>
      </c>
      <c r="D266">
        <f t="shared" si="4"/>
        <v>302</v>
      </c>
      <c r="E266" s="54" t="str" cm="1">
        <f t="array" ref="E266">_xlfn.IFS(AND(D265&gt;D266,D265&gt;D267),"Instagram has gained Highest Followers",AND(D266&gt;D265,D266&gt;D267),"Twitter has gained Highest Followers",AND(D267&gt;D266,D267&gt;D265),"Youtube has gained Highest Followers")</f>
        <v>Instagram has gained Highest Followers</v>
      </c>
      <c r="F266" s="54"/>
      <c r="G266" s="54"/>
      <c r="H266" s="54"/>
    </row>
    <row r="267" spans="1:8" x14ac:dyDescent="0.25">
      <c r="A267" s="7" t="s">
        <v>12</v>
      </c>
      <c r="B267" s="1">
        <v>503</v>
      </c>
      <c r="C267" s="1">
        <v>253</v>
      </c>
      <c r="D267">
        <f t="shared" si="4"/>
        <v>250</v>
      </c>
    </row>
    <row r="268" spans="1:8" x14ac:dyDescent="0.25">
      <c r="A268" s="12">
        <v>45908</v>
      </c>
      <c r="B268" s="1">
        <v>1877</v>
      </c>
      <c r="C268" s="1">
        <v>441</v>
      </c>
      <c r="D268" s="13">
        <f t="shared" si="4"/>
        <v>1436</v>
      </c>
    </row>
    <row r="269" spans="1:8" x14ac:dyDescent="0.25">
      <c r="A269" s="7" t="s">
        <v>11</v>
      </c>
      <c r="B269" s="1">
        <v>1017</v>
      </c>
      <c r="C269" s="1">
        <v>197</v>
      </c>
      <c r="D269">
        <f t="shared" si="4"/>
        <v>820</v>
      </c>
    </row>
    <row r="270" spans="1:8" x14ac:dyDescent="0.25">
      <c r="A270" s="7" t="s">
        <v>17</v>
      </c>
      <c r="B270" s="1">
        <v>860</v>
      </c>
      <c r="C270" s="1">
        <v>244</v>
      </c>
      <c r="D270">
        <f t="shared" si="4"/>
        <v>616</v>
      </c>
      <c r="E270" s="54" t="s">
        <v>524</v>
      </c>
      <c r="F270" s="54"/>
      <c r="G270" s="54"/>
      <c r="H270" s="54"/>
    </row>
    <row r="271" spans="1:8" x14ac:dyDescent="0.25">
      <c r="A271" s="12" t="s">
        <v>362</v>
      </c>
      <c r="B271" s="1">
        <v>196561</v>
      </c>
      <c r="C271" s="1">
        <v>34973</v>
      </c>
      <c r="D271" s="14">
        <f t="shared" si="4"/>
        <v>161588</v>
      </c>
    </row>
    <row r="273" spans="1:8" x14ac:dyDescent="0.25">
      <c r="A273" t="s">
        <v>393</v>
      </c>
      <c r="D273">
        <f>COUNTA(E6:H270)</f>
        <v>67</v>
      </c>
    </row>
    <row r="274" spans="1:8" x14ac:dyDescent="0.25">
      <c r="A274" s="52" t="s">
        <v>525</v>
      </c>
      <c r="B274" s="52"/>
      <c r="C274" s="52"/>
      <c r="D274" s="8">
        <f>COUNTIF($E$6:$H$270,"Instagram*")</f>
        <v>19</v>
      </c>
      <c r="E274" s="15"/>
      <c r="F274" s="15"/>
      <c r="G274" s="15"/>
      <c r="H274" s="15"/>
    </row>
    <row r="275" spans="1:8" x14ac:dyDescent="0.25">
      <c r="A275" s="52" t="s">
        <v>526</v>
      </c>
      <c r="B275" s="52"/>
      <c r="C275" s="52"/>
      <c r="D275" s="8">
        <f>COUNTIF($E$6:$H$270,"Twitter*")</f>
        <v>25</v>
      </c>
    </row>
    <row r="276" spans="1:8" x14ac:dyDescent="0.25">
      <c r="A276" s="52" t="s">
        <v>527</v>
      </c>
      <c r="B276" s="52"/>
      <c r="C276" s="52"/>
      <c r="D276" s="8">
        <f>COUNTIF($E$6:$H$270,"Youtube*")</f>
        <v>23</v>
      </c>
    </row>
    <row r="277" spans="1:8" x14ac:dyDescent="0.25">
      <c r="C277" t="s">
        <v>394</v>
      </c>
      <c r="D277">
        <f>SUM(D274:D276)</f>
        <v>67</v>
      </c>
    </row>
  </sheetData>
  <mergeCells count="72">
    <mergeCell ref="A276:C276"/>
    <mergeCell ref="A2:G2"/>
    <mergeCell ref="A1:B1"/>
    <mergeCell ref="E250:H250"/>
    <mergeCell ref="E266:H266"/>
    <mergeCell ref="E270:H270"/>
    <mergeCell ref="A274:C274"/>
    <mergeCell ref="A275:C275"/>
    <mergeCell ref="E186:H186"/>
    <mergeCell ref="E194:H194"/>
    <mergeCell ref="E210:H210"/>
    <mergeCell ref="E218:H218"/>
    <mergeCell ref="E226:H226"/>
    <mergeCell ref="E242:H242"/>
    <mergeCell ref="E98:H98"/>
    <mergeCell ref="E106:H106"/>
    <mergeCell ref="E74:H74"/>
    <mergeCell ref="E82:H82"/>
    <mergeCell ref="E66:H66"/>
    <mergeCell ref="E126:H126"/>
    <mergeCell ref="E134:H134"/>
    <mergeCell ref="E102:H102"/>
    <mergeCell ref="E110:H110"/>
    <mergeCell ref="E118:H118"/>
    <mergeCell ref="E78:H78"/>
    <mergeCell ref="E86:H86"/>
    <mergeCell ref="E94:H94"/>
    <mergeCell ref="E90:H90"/>
    <mergeCell ref="E114:H114"/>
    <mergeCell ref="E206:H206"/>
    <mergeCell ref="E214:H214"/>
    <mergeCell ref="E174:H174"/>
    <mergeCell ref="E182:H182"/>
    <mergeCell ref="E190:H190"/>
    <mergeCell ref="E178:H178"/>
    <mergeCell ref="E202:H202"/>
    <mergeCell ref="E146:H146"/>
    <mergeCell ref="E162:H162"/>
    <mergeCell ref="E122:H122"/>
    <mergeCell ref="E198:H198"/>
    <mergeCell ref="E150:H150"/>
    <mergeCell ref="E158:H158"/>
    <mergeCell ref="E166:H166"/>
    <mergeCell ref="E170:H170"/>
    <mergeCell ref="E130:H130"/>
    <mergeCell ref="E138:H138"/>
    <mergeCell ref="E154:H154"/>
    <mergeCell ref="E142:H142"/>
    <mergeCell ref="E246:H246"/>
    <mergeCell ref="E254:H254"/>
    <mergeCell ref="E262:H262"/>
    <mergeCell ref="E258:H258"/>
    <mergeCell ref="E222:H222"/>
    <mergeCell ref="E230:H230"/>
    <mergeCell ref="E238:H238"/>
    <mergeCell ref="E234:H234"/>
    <mergeCell ref="E6:H6"/>
    <mergeCell ref="E10:H10"/>
    <mergeCell ref="E54:H54"/>
    <mergeCell ref="E62:H62"/>
    <mergeCell ref="E70:H70"/>
    <mergeCell ref="E30:H30"/>
    <mergeCell ref="E38:H38"/>
    <mergeCell ref="E46:H46"/>
    <mergeCell ref="E34:H34"/>
    <mergeCell ref="E14:H14"/>
    <mergeCell ref="E18:H18"/>
    <mergeCell ref="E22:H22"/>
    <mergeCell ref="E26:H26"/>
    <mergeCell ref="E42:H42"/>
    <mergeCell ref="E50:H50"/>
    <mergeCell ref="E58:H5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D12C5-C1AB-49C0-87B8-B62EDEF87661}">
  <sheetPr codeName="Sheet9"/>
  <dimension ref="A1:D4"/>
  <sheetViews>
    <sheetView topLeftCell="A7" workbookViewId="0">
      <selection activeCell="K18" sqref="K18"/>
    </sheetView>
  </sheetViews>
  <sheetFormatPr defaultRowHeight="15" x14ac:dyDescent="0.25"/>
  <sheetData>
    <row r="1" spans="1:4" x14ac:dyDescent="0.25">
      <c r="A1" s="52" t="s">
        <v>406</v>
      </c>
      <c r="B1" s="52"/>
      <c r="C1" s="52"/>
      <c r="D1" s="52"/>
    </row>
    <row r="3" spans="1:4" x14ac:dyDescent="0.25">
      <c r="A3" t="s">
        <v>477</v>
      </c>
    </row>
    <row r="4" spans="1:4" x14ac:dyDescent="0.25">
      <c r="B4" t="s">
        <v>478</v>
      </c>
    </row>
  </sheetData>
  <mergeCells count="1">
    <mergeCell ref="A1:D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16297-18C4-41CD-9954-EFB1141861F7}">
  <sheetPr codeName="Sheet10"/>
  <dimension ref="A1:H301"/>
  <sheetViews>
    <sheetView workbookViewId="0">
      <selection activeCell="D7" sqref="D7"/>
    </sheetView>
  </sheetViews>
  <sheetFormatPr defaultRowHeight="15" x14ac:dyDescent="0.25"/>
  <cols>
    <col min="1" max="1" width="16.140625" customWidth="1"/>
    <col min="2" max="2" width="24.28515625" bestFit="1" customWidth="1"/>
    <col min="3" max="3" width="27.5703125" bestFit="1" customWidth="1"/>
    <col min="4" max="4" width="24.140625" bestFit="1" customWidth="1"/>
  </cols>
  <sheetData>
    <row r="1" spans="1:8" x14ac:dyDescent="0.25">
      <c r="A1" s="53" t="s">
        <v>406</v>
      </c>
      <c r="B1" s="53"/>
      <c r="C1" s="17"/>
      <c r="D1" s="17"/>
    </row>
    <row r="2" spans="1:8" x14ac:dyDescent="0.25">
      <c r="A2" t="s">
        <v>395</v>
      </c>
    </row>
    <row r="4" spans="1:8" x14ac:dyDescent="0.25">
      <c r="A4" s="53" t="s">
        <v>396</v>
      </c>
      <c r="B4" s="53"/>
      <c r="C4" s="53"/>
      <c r="D4" s="53"/>
      <c r="E4" s="53"/>
      <c r="F4" s="53"/>
    </row>
    <row r="5" spans="1:8" x14ac:dyDescent="0.25">
      <c r="A5" s="16"/>
      <c r="B5" s="16"/>
      <c r="C5" s="16"/>
      <c r="D5" s="16"/>
      <c r="E5" s="16"/>
      <c r="F5" s="16"/>
    </row>
    <row r="6" spans="1:8" x14ac:dyDescent="0.25">
      <c r="A6" s="53" t="s">
        <v>381</v>
      </c>
      <c r="B6" s="53"/>
      <c r="C6" s="53"/>
      <c r="D6" s="53"/>
      <c r="E6" s="53"/>
      <c r="F6" s="53"/>
    </row>
    <row r="7" spans="1:8" x14ac:dyDescent="0.25">
      <c r="A7" s="4" t="s">
        <v>382</v>
      </c>
    </row>
    <row r="8" spans="1:8" x14ac:dyDescent="0.25">
      <c r="A8" s="3" t="s">
        <v>361</v>
      </c>
      <c r="B8" s="3" t="s">
        <v>380</v>
      </c>
      <c r="C8" t="s">
        <v>384</v>
      </c>
    </row>
    <row r="9" spans="1:8" x14ac:dyDescent="0.25">
      <c r="A9" s="4" t="s">
        <v>11</v>
      </c>
      <c r="B9" s="1">
        <v>432.70000000000016</v>
      </c>
      <c r="C9" s="1">
        <v>6.4582089552238831</v>
      </c>
    </row>
    <row r="10" spans="1:8" x14ac:dyDescent="0.25">
      <c r="A10" s="11" t="s">
        <v>17</v>
      </c>
      <c r="B10" s="11">
        <v>461.34</v>
      </c>
      <c r="C10" s="11">
        <v>6.8856716417910446</v>
      </c>
    </row>
    <row r="11" spans="1:8" x14ac:dyDescent="0.25">
      <c r="A11" s="4" t="s">
        <v>12</v>
      </c>
      <c r="B11" s="1">
        <v>443.44999999999993</v>
      </c>
      <c r="C11" s="1">
        <v>6.7189393939393929</v>
      </c>
    </row>
    <row r="12" spans="1:8" x14ac:dyDescent="0.25">
      <c r="A12" s="4" t="s">
        <v>362</v>
      </c>
      <c r="B12" s="1">
        <v>1337.4899999999996</v>
      </c>
      <c r="C12" s="1">
        <v>6.6874499999999975</v>
      </c>
    </row>
    <row r="14" spans="1:8" x14ac:dyDescent="0.25">
      <c r="A14" s="52" t="s">
        <v>385</v>
      </c>
      <c r="B14" s="52"/>
      <c r="C14" s="52"/>
      <c r="D14" s="52"/>
      <c r="E14" s="52"/>
      <c r="F14" s="52"/>
      <c r="G14" s="52"/>
      <c r="H14" s="52"/>
    </row>
    <row r="16" spans="1:8" x14ac:dyDescent="0.25">
      <c r="A16" s="52" t="s">
        <v>397</v>
      </c>
      <c r="B16" s="52"/>
    </row>
    <row r="17" spans="1:8" x14ac:dyDescent="0.25">
      <c r="A17" s="55" t="s">
        <v>404</v>
      </c>
      <c r="B17" s="55"/>
      <c r="C17" s="55"/>
      <c r="D17" s="55"/>
      <c r="E17" s="55"/>
      <c r="F17" s="55"/>
      <c r="G17" s="55"/>
    </row>
    <row r="18" spans="1:8" x14ac:dyDescent="0.25">
      <c r="A18" s="3" t="s">
        <v>361</v>
      </c>
      <c r="B18" s="3" t="s">
        <v>386</v>
      </c>
      <c r="C18" t="s">
        <v>387</v>
      </c>
      <c r="D18" s="5" t="s">
        <v>388</v>
      </c>
    </row>
    <row r="19" spans="1:8" x14ac:dyDescent="0.25">
      <c r="A19" s="12">
        <v>45446</v>
      </c>
      <c r="B19" s="1">
        <v>3869</v>
      </c>
      <c r="C19" s="1">
        <v>450</v>
      </c>
      <c r="D19" s="13">
        <f>B19-C19</f>
        <v>3419</v>
      </c>
    </row>
    <row r="20" spans="1:8" x14ac:dyDescent="0.25">
      <c r="A20" s="7" t="s">
        <v>11</v>
      </c>
      <c r="B20" s="1">
        <v>1402</v>
      </c>
      <c r="C20" s="1">
        <v>68</v>
      </c>
      <c r="D20">
        <f>B20-C20</f>
        <v>1334</v>
      </c>
    </row>
    <row r="21" spans="1:8" x14ac:dyDescent="0.25">
      <c r="A21" s="7" t="s">
        <v>17</v>
      </c>
      <c r="B21" s="1">
        <v>995</v>
      </c>
      <c r="C21" s="1">
        <v>86</v>
      </c>
      <c r="D21">
        <f t="shared" ref="D21:D84" si="0">B21-C21</f>
        <v>909</v>
      </c>
      <c r="E21" s="54" t="str" cm="1">
        <f t="array" ref="E21">_xlfn.IFS(AND(D20&gt;D21,D20&gt;D22),"Instagram has gained Highest Fallowers",AND(D21&gt;D20,D21&gt;D22),"Twitter has gained Highest Fallowers",AND(D22&gt;D20,D22&gt;D21),"Youtube has gained Highest Fallowers")</f>
        <v>Instagram has gained Highest Fallowers</v>
      </c>
      <c r="F21" s="54"/>
      <c r="G21" s="54"/>
      <c r="H21" s="54"/>
    </row>
    <row r="22" spans="1:8" x14ac:dyDescent="0.25">
      <c r="A22" s="7" t="s">
        <v>12</v>
      </c>
      <c r="B22" s="1">
        <v>1472</v>
      </c>
      <c r="C22" s="1">
        <v>296</v>
      </c>
      <c r="D22">
        <f t="shared" si="0"/>
        <v>1176</v>
      </c>
    </row>
    <row r="23" spans="1:8" x14ac:dyDescent="0.25">
      <c r="A23" s="12">
        <v>45453</v>
      </c>
      <c r="B23" s="1">
        <v>3024</v>
      </c>
      <c r="C23" s="1">
        <v>247</v>
      </c>
      <c r="D23" s="13">
        <f t="shared" si="0"/>
        <v>2777</v>
      </c>
    </row>
    <row r="24" spans="1:8" x14ac:dyDescent="0.25">
      <c r="A24" s="7" t="s">
        <v>11</v>
      </c>
      <c r="B24" s="1">
        <v>1018</v>
      </c>
      <c r="C24" s="1">
        <v>90</v>
      </c>
      <c r="D24">
        <f t="shared" si="0"/>
        <v>928</v>
      </c>
    </row>
    <row r="25" spans="1:8" x14ac:dyDescent="0.25">
      <c r="A25" s="7" t="s">
        <v>17</v>
      </c>
      <c r="B25" s="1">
        <v>1461</v>
      </c>
      <c r="C25" s="1">
        <v>64</v>
      </c>
      <c r="D25">
        <f t="shared" si="0"/>
        <v>1397</v>
      </c>
      <c r="E25" s="54" t="str" cm="1">
        <f t="array" ref="E25">_xlfn.IFS(AND(D24&gt;D25,D24&gt;D26),"Instagram has gained Highest Fallowers",AND(D25&gt;D24,D25&gt;D26),"Twitter has gained Highest Fallowers",AND(D26&gt;D25,D26&gt;D24),"Youtube has gained Highest Fallowers")</f>
        <v>Twitter has gained Highest Fallowers</v>
      </c>
      <c r="F25" s="54"/>
      <c r="G25" s="54"/>
      <c r="H25" s="54"/>
    </row>
    <row r="26" spans="1:8" x14ac:dyDescent="0.25">
      <c r="A26" s="7" t="s">
        <v>12</v>
      </c>
      <c r="B26" s="1">
        <v>545</v>
      </c>
      <c r="C26" s="1">
        <v>93</v>
      </c>
      <c r="D26">
        <f t="shared" si="0"/>
        <v>452</v>
      </c>
    </row>
    <row r="27" spans="1:8" x14ac:dyDescent="0.25">
      <c r="A27" s="12">
        <v>45460</v>
      </c>
      <c r="B27" s="1">
        <v>3767</v>
      </c>
      <c r="C27" s="1">
        <v>592</v>
      </c>
      <c r="D27" s="13">
        <f t="shared" si="0"/>
        <v>3175</v>
      </c>
    </row>
    <row r="28" spans="1:8" x14ac:dyDescent="0.25">
      <c r="A28" s="7" t="s">
        <v>11</v>
      </c>
      <c r="B28" s="1">
        <v>881</v>
      </c>
      <c r="C28" s="1">
        <v>291</v>
      </c>
      <c r="D28">
        <f t="shared" si="0"/>
        <v>590</v>
      </c>
    </row>
    <row r="29" spans="1:8" x14ac:dyDescent="0.25">
      <c r="A29" s="7" t="s">
        <v>17</v>
      </c>
      <c r="B29" s="1">
        <v>1414</v>
      </c>
      <c r="C29" s="1">
        <v>131</v>
      </c>
      <c r="D29">
        <f t="shared" si="0"/>
        <v>1283</v>
      </c>
      <c r="E29" s="54" t="str" cm="1">
        <f t="array" ref="E29">_xlfn.IFS(AND(D28&gt;D29,D28&gt;D30),"Instagram has gained Highest Fallowers",AND(D29&gt;D28,D29&gt;D30),"Twitter has gained Highest Fallowers",AND(D30&gt;D29,D30&gt;D28),"Youtube has gained Highest Fallowers")</f>
        <v>Youtube has gained Highest Fallowers</v>
      </c>
      <c r="F29" s="54"/>
      <c r="G29" s="54"/>
      <c r="H29" s="54"/>
    </row>
    <row r="30" spans="1:8" x14ac:dyDescent="0.25">
      <c r="A30" s="7" t="s">
        <v>12</v>
      </c>
      <c r="B30" s="1">
        <v>1472</v>
      </c>
      <c r="C30" s="1">
        <v>170</v>
      </c>
      <c r="D30">
        <f t="shared" si="0"/>
        <v>1302</v>
      </c>
    </row>
    <row r="31" spans="1:8" x14ac:dyDescent="0.25">
      <c r="A31" s="12">
        <v>45467</v>
      </c>
      <c r="B31" s="1">
        <v>3024</v>
      </c>
      <c r="C31" s="1">
        <v>591</v>
      </c>
      <c r="D31" s="13">
        <f t="shared" si="0"/>
        <v>2433</v>
      </c>
    </row>
    <row r="32" spans="1:8" x14ac:dyDescent="0.25">
      <c r="A32" s="7" t="s">
        <v>11</v>
      </c>
      <c r="B32" s="1">
        <v>809</v>
      </c>
      <c r="C32" s="1">
        <v>197</v>
      </c>
      <c r="D32">
        <f t="shared" si="0"/>
        <v>612</v>
      </c>
    </row>
    <row r="33" spans="1:8" x14ac:dyDescent="0.25">
      <c r="A33" s="7" t="s">
        <v>17</v>
      </c>
      <c r="B33" s="1">
        <v>1371</v>
      </c>
      <c r="C33" s="1">
        <v>250</v>
      </c>
      <c r="D33">
        <f t="shared" si="0"/>
        <v>1121</v>
      </c>
      <c r="E33" s="54" t="str" cm="1">
        <f t="array" ref="E33">_xlfn.IFS(AND(D32&gt;D33,D32&gt;D34),"Instagram has gained Highest Fallowers",AND(D33&gt;D32,D33&gt;D34),"Twitter has gained Highest Fallowers",AND(D34&gt;D33,D34&gt;D32),"Youtube has gained Highest Fallowers")</f>
        <v>Twitter has gained Highest Fallowers</v>
      </c>
      <c r="F33" s="54"/>
      <c r="G33" s="54"/>
      <c r="H33" s="54"/>
    </row>
    <row r="34" spans="1:8" x14ac:dyDescent="0.25">
      <c r="A34" s="7" t="s">
        <v>12</v>
      </c>
      <c r="B34" s="1">
        <v>844</v>
      </c>
      <c r="C34" s="1">
        <v>144</v>
      </c>
      <c r="D34">
        <f t="shared" si="0"/>
        <v>700</v>
      </c>
    </row>
    <row r="35" spans="1:8" x14ac:dyDescent="0.25">
      <c r="A35" s="12">
        <v>45474</v>
      </c>
      <c r="B35" s="1">
        <v>2849</v>
      </c>
      <c r="C35" s="1">
        <v>423</v>
      </c>
      <c r="D35" s="13">
        <f t="shared" si="0"/>
        <v>2426</v>
      </c>
    </row>
    <row r="36" spans="1:8" x14ac:dyDescent="0.25">
      <c r="A36" s="7" t="s">
        <v>11</v>
      </c>
      <c r="B36" s="1">
        <v>786</v>
      </c>
      <c r="C36" s="1">
        <v>72</v>
      </c>
      <c r="D36">
        <f t="shared" si="0"/>
        <v>714</v>
      </c>
    </row>
    <row r="37" spans="1:8" x14ac:dyDescent="0.25">
      <c r="A37" s="7" t="s">
        <v>17</v>
      </c>
      <c r="B37" s="1">
        <v>845</v>
      </c>
      <c r="C37" s="1">
        <v>250</v>
      </c>
      <c r="D37">
        <f t="shared" si="0"/>
        <v>595</v>
      </c>
      <c r="E37" s="54" t="str" cm="1">
        <f t="array" ref="E37">_xlfn.IFS(AND(D36&gt;D37,D36&gt;D38),"Instagram has gained Highest Fallowers",AND(D37&gt;D36,D37&gt;D38),"Twitter has gained Highest Fallowers",AND(D38&gt;D37,D38&gt;D36),"Youtube has gained Highest Fallowers")</f>
        <v>Youtube has gained Highest Fallowers</v>
      </c>
      <c r="F37" s="54"/>
      <c r="G37" s="54"/>
      <c r="H37" s="54"/>
    </row>
    <row r="38" spans="1:8" x14ac:dyDescent="0.25">
      <c r="A38" s="7" t="s">
        <v>12</v>
      </c>
      <c r="B38" s="1">
        <v>1218</v>
      </c>
      <c r="C38" s="1">
        <v>101</v>
      </c>
      <c r="D38">
        <f t="shared" si="0"/>
        <v>1117</v>
      </c>
    </row>
    <row r="39" spans="1:8" x14ac:dyDescent="0.25">
      <c r="A39" s="12">
        <v>45481</v>
      </c>
      <c r="B39" s="1">
        <v>3521</v>
      </c>
      <c r="C39" s="1">
        <v>366</v>
      </c>
      <c r="D39" s="13">
        <f t="shared" si="0"/>
        <v>3155</v>
      </c>
    </row>
    <row r="40" spans="1:8" x14ac:dyDescent="0.25">
      <c r="A40" s="7" t="s">
        <v>11</v>
      </c>
      <c r="B40" s="1">
        <v>797</v>
      </c>
      <c r="C40" s="1">
        <v>130</v>
      </c>
      <c r="D40">
        <f t="shared" si="0"/>
        <v>667</v>
      </c>
    </row>
    <row r="41" spans="1:8" x14ac:dyDescent="0.25">
      <c r="A41" s="7" t="s">
        <v>17</v>
      </c>
      <c r="B41" s="1">
        <v>1471</v>
      </c>
      <c r="C41" s="1">
        <v>100</v>
      </c>
      <c r="D41">
        <f t="shared" si="0"/>
        <v>1371</v>
      </c>
      <c r="E41" s="54" t="str" cm="1">
        <f t="array" ref="E41">_xlfn.IFS(AND(D40&gt;D41,D40&gt;D42),"Instagram has gained Highest Fallowers",AND(D41&gt;D40,D41&gt;D42),"Twitter has gained Highest Fallowers",AND(D42&gt;D41,D42&gt;D40),"Youtube has gained Highest Fallowers")</f>
        <v>Twitter has gained Highest Fallowers</v>
      </c>
      <c r="F41" s="54"/>
      <c r="G41" s="54"/>
      <c r="H41" s="54"/>
    </row>
    <row r="42" spans="1:8" x14ac:dyDescent="0.25">
      <c r="A42" s="7" t="s">
        <v>12</v>
      </c>
      <c r="B42" s="1">
        <v>1253</v>
      </c>
      <c r="C42" s="1">
        <v>136</v>
      </c>
      <c r="D42">
        <f t="shared" si="0"/>
        <v>1117</v>
      </c>
    </row>
    <row r="43" spans="1:8" x14ac:dyDescent="0.25">
      <c r="A43" s="12">
        <v>45488</v>
      </c>
      <c r="B43" s="1">
        <v>2905</v>
      </c>
      <c r="C43" s="1">
        <v>536</v>
      </c>
      <c r="D43" s="13">
        <f t="shared" si="0"/>
        <v>2369</v>
      </c>
    </row>
    <row r="44" spans="1:8" x14ac:dyDescent="0.25">
      <c r="A44" s="7" t="s">
        <v>11</v>
      </c>
      <c r="B44" s="1">
        <v>616</v>
      </c>
      <c r="C44" s="1">
        <v>257</v>
      </c>
      <c r="D44">
        <f t="shared" si="0"/>
        <v>359</v>
      </c>
    </row>
    <row r="45" spans="1:8" x14ac:dyDescent="0.25">
      <c r="A45" s="7" t="s">
        <v>17</v>
      </c>
      <c r="B45" s="1">
        <v>1308</v>
      </c>
      <c r="C45" s="1">
        <v>210</v>
      </c>
      <c r="D45">
        <f t="shared" si="0"/>
        <v>1098</v>
      </c>
      <c r="E45" s="54" t="str" cm="1">
        <f t="array" ref="E45">_xlfn.IFS(AND(D44&gt;D45,D44&gt;D46),"Instagram has gained Highest Fallowers",AND(D45&gt;D44,D45&gt;D46),"Twitter has gained Highest Fallowers",AND(D46&gt;D45,D46&gt;D44),"Youtube has gained Highest Fallowers")</f>
        <v>Twitter has gained Highest Fallowers</v>
      </c>
      <c r="F45" s="54"/>
      <c r="G45" s="54"/>
      <c r="H45" s="54"/>
    </row>
    <row r="46" spans="1:8" x14ac:dyDescent="0.25">
      <c r="A46" s="7" t="s">
        <v>12</v>
      </c>
      <c r="B46" s="1">
        <v>981</v>
      </c>
      <c r="C46" s="1">
        <v>69</v>
      </c>
      <c r="D46">
        <f t="shared" si="0"/>
        <v>912</v>
      </c>
    </row>
    <row r="47" spans="1:8" x14ac:dyDescent="0.25">
      <c r="A47" s="12">
        <v>45495</v>
      </c>
      <c r="B47" s="1">
        <v>2654</v>
      </c>
      <c r="C47" s="1">
        <v>373</v>
      </c>
      <c r="D47" s="13">
        <f t="shared" si="0"/>
        <v>2281</v>
      </c>
    </row>
    <row r="48" spans="1:8" x14ac:dyDescent="0.25">
      <c r="A48" s="7" t="s">
        <v>11</v>
      </c>
      <c r="B48" s="1">
        <v>866</v>
      </c>
      <c r="C48" s="1">
        <v>74</v>
      </c>
      <c r="D48">
        <f t="shared" si="0"/>
        <v>792</v>
      </c>
    </row>
    <row r="49" spans="1:8" x14ac:dyDescent="0.25">
      <c r="A49" s="7" t="s">
        <v>17</v>
      </c>
      <c r="B49" s="1">
        <v>547</v>
      </c>
      <c r="C49" s="1">
        <v>183</v>
      </c>
      <c r="D49">
        <f t="shared" si="0"/>
        <v>364</v>
      </c>
      <c r="E49" s="54" t="str" cm="1">
        <f t="array" ref="E49">_xlfn.IFS(AND(D48&gt;D49,D48&gt;D50),"Instagram has gained Highest Fallowers",AND(D49&gt;D48,D49&gt;D50),"Twitter has gained Highest Fallowers",AND(D50&gt;D49,D50&gt;D48),"Youtube has gained Highest Fallowers")</f>
        <v>Youtube has gained Highest Fallowers</v>
      </c>
      <c r="F49" s="54"/>
      <c r="G49" s="54"/>
      <c r="H49" s="54"/>
    </row>
    <row r="50" spans="1:8" x14ac:dyDescent="0.25">
      <c r="A50" s="7" t="s">
        <v>12</v>
      </c>
      <c r="B50" s="1">
        <v>1241</v>
      </c>
      <c r="C50" s="1">
        <v>116</v>
      </c>
      <c r="D50">
        <f t="shared" si="0"/>
        <v>1125</v>
      </c>
    </row>
    <row r="51" spans="1:8" x14ac:dyDescent="0.25">
      <c r="A51" s="12">
        <v>45502</v>
      </c>
      <c r="B51" s="1">
        <v>2567</v>
      </c>
      <c r="C51" s="1">
        <v>435</v>
      </c>
      <c r="D51" s="13">
        <f t="shared" si="0"/>
        <v>2132</v>
      </c>
    </row>
    <row r="52" spans="1:8" x14ac:dyDescent="0.25">
      <c r="A52" s="7" t="s">
        <v>11</v>
      </c>
      <c r="B52" s="1">
        <v>973</v>
      </c>
      <c r="C52" s="1">
        <v>104</v>
      </c>
      <c r="D52">
        <f t="shared" si="0"/>
        <v>869</v>
      </c>
    </row>
    <row r="53" spans="1:8" x14ac:dyDescent="0.25">
      <c r="A53" s="7" t="s">
        <v>17</v>
      </c>
      <c r="B53" s="1">
        <v>611</v>
      </c>
      <c r="C53" s="1">
        <v>197</v>
      </c>
      <c r="D53">
        <f t="shared" si="0"/>
        <v>414</v>
      </c>
      <c r="E53" s="54" t="str" cm="1">
        <f t="array" ref="E53">_xlfn.IFS(AND(D52&gt;D53,D52&gt;D54),"Instagram has gained Highest Fallowers",AND(D53&gt;D52,D53&gt;D54),"Twitter has gained Highest Fallowers",AND(D54&gt;D53,D54&gt;D52),"Youtube has gained Highest Fallowers")</f>
        <v>Instagram has gained Highest Fallowers</v>
      </c>
      <c r="F53" s="54"/>
      <c r="G53" s="54"/>
      <c r="H53" s="54"/>
    </row>
    <row r="54" spans="1:8" x14ac:dyDescent="0.25">
      <c r="A54" s="7" t="s">
        <v>12</v>
      </c>
      <c r="B54" s="1">
        <v>983</v>
      </c>
      <c r="C54" s="1">
        <v>134</v>
      </c>
      <c r="D54">
        <f t="shared" si="0"/>
        <v>849</v>
      </c>
    </row>
    <row r="55" spans="1:8" x14ac:dyDescent="0.25">
      <c r="A55" s="12">
        <v>45509</v>
      </c>
      <c r="B55" s="1">
        <v>3138</v>
      </c>
      <c r="C55" s="1">
        <v>445</v>
      </c>
      <c r="D55" s="13">
        <f t="shared" si="0"/>
        <v>2693</v>
      </c>
    </row>
    <row r="56" spans="1:8" x14ac:dyDescent="0.25">
      <c r="A56" s="7" t="s">
        <v>11</v>
      </c>
      <c r="B56" s="1">
        <v>1449</v>
      </c>
      <c r="C56" s="1">
        <v>96</v>
      </c>
      <c r="D56">
        <f t="shared" si="0"/>
        <v>1353</v>
      </c>
    </row>
    <row r="57" spans="1:8" x14ac:dyDescent="0.25">
      <c r="A57" s="7" t="s">
        <v>17</v>
      </c>
      <c r="B57" s="1">
        <v>752</v>
      </c>
      <c r="C57" s="1">
        <v>170</v>
      </c>
      <c r="D57">
        <f t="shared" si="0"/>
        <v>582</v>
      </c>
      <c r="E57" s="54" t="str" cm="1">
        <f t="array" ref="E57">_xlfn.IFS(AND(D56&gt;D57,D56&gt;D58),"Instagram has gained Highest Fallowers",AND(D57&gt;D56,D57&gt;D58),"Twitter has gained Highest Fallowers",AND(D58&gt;D57,D58&gt;D56),"Youtube has gained Highest Fallowers")</f>
        <v>Instagram has gained Highest Fallowers</v>
      </c>
      <c r="F57" s="54"/>
      <c r="G57" s="54"/>
      <c r="H57" s="54"/>
    </row>
    <row r="58" spans="1:8" x14ac:dyDescent="0.25">
      <c r="A58" s="7" t="s">
        <v>12</v>
      </c>
      <c r="B58" s="1">
        <v>937</v>
      </c>
      <c r="C58" s="1">
        <v>179</v>
      </c>
      <c r="D58">
        <f t="shared" si="0"/>
        <v>758</v>
      </c>
    </row>
    <row r="59" spans="1:8" x14ac:dyDescent="0.25">
      <c r="A59" s="12">
        <v>45516</v>
      </c>
      <c r="B59" s="1">
        <v>3625</v>
      </c>
      <c r="C59" s="1">
        <v>553</v>
      </c>
      <c r="D59" s="13">
        <f t="shared" si="0"/>
        <v>3072</v>
      </c>
    </row>
    <row r="60" spans="1:8" x14ac:dyDescent="0.25">
      <c r="A60" s="7" t="s">
        <v>11</v>
      </c>
      <c r="B60" s="1">
        <v>1060</v>
      </c>
      <c r="C60" s="1">
        <v>83</v>
      </c>
      <c r="D60">
        <f t="shared" si="0"/>
        <v>977</v>
      </c>
    </row>
    <row r="61" spans="1:8" x14ac:dyDescent="0.25">
      <c r="A61" s="7" t="s">
        <v>17</v>
      </c>
      <c r="B61" s="1">
        <v>1456</v>
      </c>
      <c r="C61" s="1">
        <v>265</v>
      </c>
      <c r="D61">
        <f t="shared" si="0"/>
        <v>1191</v>
      </c>
      <c r="E61" s="54" t="str" cm="1">
        <f t="array" ref="E61">_xlfn.IFS(AND(D60&gt;D61,D60&gt;D62),"Instagram has gained Highest Fallowers",AND(D61&gt;D60,D61&gt;D62),"Twitter has gained Highest Fallowers",AND(D62&gt;D61,D62&gt;D60),"Youtube has gained Highest Fallowers")</f>
        <v>Twitter has gained Highest Fallowers</v>
      </c>
      <c r="F61" s="54"/>
      <c r="G61" s="54"/>
      <c r="H61" s="54"/>
    </row>
    <row r="62" spans="1:8" x14ac:dyDescent="0.25">
      <c r="A62" s="7" t="s">
        <v>12</v>
      </c>
      <c r="B62" s="1">
        <v>1109</v>
      </c>
      <c r="C62" s="1">
        <v>205</v>
      </c>
      <c r="D62">
        <f t="shared" si="0"/>
        <v>904</v>
      </c>
    </row>
    <row r="63" spans="1:8" x14ac:dyDescent="0.25">
      <c r="A63" s="12">
        <v>45523</v>
      </c>
      <c r="B63" s="1">
        <v>2813</v>
      </c>
      <c r="C63" s="1">
        <v>513</v>
      </c>
      <c r="D63" s="13">
        <f t="shared" si="0"/>
        <v>2300</v>
      </c>
    </row>
    <row r="64" spans="1:8" x14ac:dyDescent="0.25">
      <c r="A64" s="7" t="s">
        <v>11</v>
      </c>
      <c r="B64" s="1">
        <v>1002</v>
      </c>
      <c r="C64" s="1">
        <v>93</v>
      </c>
      <c r="D64">
        <f t="shared" si="0"/>
        <v>909</v>
      </c>
    </row>
    <row r="65" spans="1:8" x14ac:dyDescent="0.25">
      <c r="A65" s="7" t="s">
        <v>17</v>
      </c>
      <c r="B65" s="1">
        <v>571</v>
      </c>
      <c r="C65" s="1">
        <v>189</v>
      </c>
      <c r="D65">
        <f t="shared" si="0"/>
        <v>382</v>
      </c>
      <c r="E65" s="54" t="str" cm="1">
        <f t="array" ref="E65">_xlfn.IFS(AND(D64&gt;D65,D64&gt;D66),"Instagram has gained Highest Fallowers",AND(D65&gt;D64,D65&gt;D66),"Twitter has gained Highest Fallowers",AND(D66&gt;D65,D66&gt;D64),"Youtube has gained Highest Fallowers")</f>
        <v>Youtube has gained Highest Fallowers</v>
      </c>
      <c r="F65" s="54"/>
      <c r="G65" s="54"/>
      <c r="H65" s="54"/>
    </row>
    <row r="66" spans="1:8" x14ac:dyDescent="0.25">
      <c r="A66" s="7" t="s">
        <v>12</v>
      </c>
      <c r="B66" s="1">
        <v>1240</v>
      </c>
      <c r="C66" s="1">
        <v>231</v>
      </c>
      <c r="D66">
        <f t="shared" si="0"/>
        <v>1009</v>
      </c>
    </row>
    <row r="67" spans="1:8" x14ac:dyDescent="0.25">
      <c r="A67" s="12">
        <v>45530</v>
      </c>
      <c r="B67" s="1">
        <v>3147</v>
      </c>
      <c r="C67" s="1">
        <v>697</v>
      </c>
      <c r="D67" s="13">
        <f t="shared" si="0"/>
        <v>2450</v>
      </c>
    </row>
    <row r="68" spans="1:8" x14ac:dyDescent="0.25">
      <c r="A68" s="7" t="s">
        <v>11</v>
      </c>
      <c r="B68" s="1">
        <v>1154</v>
      </c>
      <c r="C68" s="1">
        <v>132</v>
      </c>
      <c r="D68">
        <f t="shared" si="0"/>
        <v>1022</v>
      </c>
    </row>
    <row r="69" spans="1:8" x14ac:dyDescent="0.25">
      <c r="A69" s="7" t="s">
        <v>17</v>
      </c>
      <c r="B69" s="1">
        <v>537</v>
      </c>
      <c r="C69" s="1">
        <v>275</v>
      </c>
      <c r="D69">
        <f t="shared" si="0"/>
        <v>262</v>
      </c>
      <c r="E69" s="54" t="str" cm="1">
        <f t="array" ref="E69">_xlfn.IFS(AND(D68&gt;D69,D68&gt;D70),"Instagram has gained Highest Fallowers",AND(D69&gt;D68,D69&gt;D70),"Twitter has gained Highest Fallowers",AND(D70&gt;D69,D70&gt;D68),"Youtube has gained Highest Fallowers")</f>
        <v>Youtube has gained Highest Fallowers</v>
      </c>
      <c r="F69" s="54"/>
      <c r="G69" s="54"/>
      <c r="H69" s="54"/>
    </row>
    <row r="70" spans="1:8" x14ac:dyDescent="0.25">
      <c r="A70" s="7" t="s">
        <v>12</v>
      </c>
      <c r="B70" s="1">
        <v>1456</v>
      </c>
      <c r="C70" s="1">
        <v>290</v>
      </c>
      <c r="D70">
        <f t="shared" si="0"/>
        <v>1166</v>
      </c>
    </row>
    <row r="71" spans="1:8" x14ac:dyDescent="0.25">
      <c r="A71" s="12">
        <v>45537</v>
      </c>
      <c r="B71" s="1">
        <v>2915</v>
      </c>
      <c r="C71" s="1">
        <v>413</v>
      </c>
      <c r="D71" s="13">
        <f t="shared" si="0"/>
        <v>2502</v>
      </c>
    </row>
    <row r="72" spans="1:8" x14ac:dyDescent="0.25">
      <c r="A72" s="7" t="s">
        <v>11</v>
      </c>
      <c r="B72" s="1">
        <v>721</v>
      </c>
      <c r="C72" s="1">
        <v>206</v>
      </c>
      <c r="D72">
        <f t="shared" si="0"/>
        <v>515</v>
      </c>
    </row>
    <row r="73" spans="1:8" x14ac:dyDescent="0.25">
      <c r="A73" s="7" t="s">
        <v>17</v>
      </c>
      <c r="B73" s="1">
        <v>1098</v>
      </c>
      <c r="C73" s="1">
        <v>142</v>
      </c>
      <c r="D73">
        <f t="shared" si="0"/>
        <v>956</v>
      </c>
      <c r="E73" s="54" t="str" cm="1">
        <f t="array" ref="E73">_xlfn.IFS(AND(D72&gt;D73,D72&gt;D74),"Instagram has gained Highest Fallowers",AND(D73&gt;D72,D73&gt;D74),"Twitter has gained Highest Fallowers",AND(D74&gt;D73,D74&gt;D72),"Youtube has gained Highest Fallowers")</f>
        <v>Youtube has gained Highest Fallowers</v>
      </c>
      <c r="F73" s="54"/>
      <c r="G73" s="54"/>
      <c r="H73" s="54"/>
    </row>
    <row r="74" spans="1:8" x14ac:dyDescent="0.25">
      <c r="A74" s="7" t="s">
        <v>12</v>
      </c>
      <c r="B74" s="1">
        <v>1096</v>
      </c>
      <c r="C74" s="1">
        <v>65</v>
      </c>
      <c r="D74">
        <f t="shared" si="0"/>
        <v>1031</v>
      </c>
    </row>
    <row r="75" spans="1:8" x14ac:dyDescent="0.25">
      <c r="A75" s="12">
        <v>45544</v>
      </c>
      <c r="B75" s="1">
        <v>3196</v>
      </c>
      <c r="C75" s="1">
        <v>566</v>
      </c>
      <c r="D75" s="13">
        <f t="shared" si="0"/>
        <v>2630</v>
      </c>
    </row>
    <row r="76" spans="1:8" x14ac:dyDescent="0.25">
      <c r="A76" s="7" t="s">
        <v>11</v>
      </c>
      <c r="B76" s="1">
        <v>912</v>
      </c>
      <c r="C76" s="1">
        <v>275</v>
      </c>
      <c r="D76">
        <f t="shared" si="0"/>
        <v>637</v>
      </c>
    </row>
    <row r="77" spans="1:8" x14ac:dyDescent="0.25">
      <c r="A77" s="7" t="s">
        <v>17</v>
      </c>
      <c r="B77" s="1">
        <v>1430</v>
      </c>
      <c r="C77" s="1">
        <v>162</v>
      </c>
      <c r="D77">
        <f t="shared" si="0"/>
        <v>1268</v>
      </c>
      <c r="E77" s="54" t="str" cm="1">
        <f t="array" ref="E77">_xlfn.IFS(AND(D76&gt;D77,D76&gt;D78),"Instagram has gained Highest Fallowers",AND(D77&gt;D76,D77&gt;D78),"Twitter has gained Highest Fallowers",AND(D78&gt;D77,D78&gt;D76),"Youtube has gained Highest Fallowers")</f>
        <v>Twitter has gained Highest Fallowers</v>
      </c>
      <c r="F77" s="54"/>
      <c r="G77" s="54"/>
      <c r="H77" s="54"/>
    </row>
    <row r="78" spans="1:8" x14ac:dyDescent="0.25">
      <c r="A78" s="7" t="s">
        <v>12</v>
      </c>
      <c r="B78" s="1">
        <v>854</v>
      </c>
      <c r="C78" s="1">
        <v>129</v>
      </c>
      <c r="D78">
        <f t="shared" si="0"/>
        <v>725</v>
      </c>
    </row>
    <row r="79" spans="1:8" x14ac:dyDescent="0.25">
      <c r="A79" s="12">
        <v>45551</v>
      </c>
      <c r="B79" s="1">
        <v>2739</v>
      </c>
      <c r="C79" s="1">
        <v>577</v>
      </c>
      <c r="D79" s="13">
        <f t="shared" si="0"/>
        <v>2162</v>
      </c>
    </row>
    <row r="80" spans="1:8" x14ac:dyDescent="0.25">
      <c r="A80" s="7" t="s">
        <v>11</v>
      </c>
      <c r="B80" s="1">
        <v>681</v>
      </c>
      <c r="C80" s="1">
        <v>210</v>
      </c>
      <c r="D80">
        <f t="shared" si="0"/>
        <v>471</v>
      </c>
    </row>
    <row r="81" spans="1:8" x14ac:dyDescent="0.25">
      <c r="A81" s="7" t="s">
        <v>17</v>
      </c>
      <c r="B81" s="1">
        <v>1373</v>
      </c>
      <c r="C81" s="1">
        <v>82</v>
      </c>
      <c r="D81">
        <f t="shared" si="0"/>
        <v>1291</v>
      </c>
      <c r="E81" s="54" t="str" cm="1">
        <f t="array" ref="E81">_xlfn.IFS(AND(D80&gt;D81,D80&gt;D82),"Instagram has gained Highest Fallowers",AND(D81&gt;D80,D81&gt;D82),"Twitter has gained Highest Fallowers",AND(D82&gt;D81,D82&gt;D80),"Youtube has gained Highest Fallowers")</f>
        <v>Twitter has gained Highest Fallowers</v>
      </c>
      <c r="F81" s="54"/>
      <c r="G81" s="54"/>
      <c r="H81" s="54"/>
    </row>
    <row r="82" spans="1:8" x14ac:dyDescent="0.25">
      <c r="A82" s="7" t="s">
        <v>12</v>
      </c>
      <c r="B82" s="1">
        <v>685</v>
      </c>
      <c r="C82" s="1">
        <v>285</v>
      </c>
      <c r="D82">
        <f t="shared" si="0"/>
        <v>400</v>
      </c>
    </row>
    <row r="83" spans="1:8" x14ac:dyDescent="0.25">
      <c r="A83" s="12">
        <v>45558</v>
      </c>
      <c r="B83" s="1">
        <v>3496</v>
      </c>
      <c r="C83" s="1">
        <v>711</v>
      </c>
      <c r="D83" s="13">
        <f t="shared" si="0"/>
        <v>2785</v>
      </c>
    </row>
    <row r="84" spans="1:8" x14ac:dyDescent="0.25">
      <c r="A84" s="7" t="s">
        <v>11</v>
      </c>
      <c r="B84" s="1">
        <v>1290</v>
      </c>
      <c r="C84" s="1">
        <v>177</v>
      </c>
      <c r="D84">
        <f t="shared" si="0"/>
        <v>1113</v>
      </c>
    </row>
    <row r="85" spans="1:8" x14ac:dyDescent="0.25">
      <c r="A85" s="7" t="s">
        <v>17</v>
      </c>
      <c r="B85" s="1">
        <v>1437</v>
      </c>
      <c r="C85" s="1">
        <v>239</v>
      </c>
      <c r="D85">
        <f t="shared" ref="D85:D148" si="1">B85-C85</f>
        <v>1198</v>
      </c>
      <c r="E85" s="54" t="str" cm="1">
        <f t="array" ref="E85">_xlfn.IFS(AND(D84&gt;D85,D84&gt;D86),"Instagram has gained Highest Fallowers",AND(D85&gt;D84,D85&gt;D86),"Twitter has gained Highest Fallowers",AND(D86&gt;D85,D86&gt;D84),"Youtube has gained Highest Fallowers")</f>
        <v>Twitter has gained Highest Fallowers</v>
      </c>
      <c r="F85" s="54"/>
      <c r="G85" s="54"/>
      <c r="H85" s="54"/>
    </row>
    <row r="86" spans="1:8" x14ac:dyDescent="0.25">
      <c r="A86" s="7" t="s">
        <v>12</v>
      </c>
      <c r="B86" s="1">
        <v>769</v>
      </c>
      <c r="C86" s="1">
        <v>295</v>
      </c>
      <c r="D86">
        <f t="shared" si="1"/>
        <v>474</v>
      </c>
    </row>
    <row r="87" spans="1:8" x14ac:dyDescent="0.25">
      <c r="A87" s="12">
        <v>45565</v>
      </c>
      <c r="B87" s="1">
        <v>3835</v>
      </c>
      <c r="C87" s="1">
        <v>684</v>
      </c>
      <c r="D87" s="13">
        <f t="shared" si="1"/>
        <v>3151</v>
      </c>
    </row>
    <row r="88" spans="1:8" x14ac:dyDescent="0.25">
      <c r="A88" s="7" t="s">
        <v>11</v>
      </c>
      <c r="B88" s="1">
        <v>1416</v>
      </c>
      <c r="C88" s="1">
        <v>284</v>
      </c>
      <c r="D88">
        <f t="shared" si="1"/>
        <v>1132</v>
      </c>
    </row>
    <row r="89" spans="1:8" x14ac:dyDescent="0.25">
      <c r="A89" s="7" t="s">
        <v>17</v>
      </c>
      <c r="B89" s="1">
        <v>998</v>
      </c>
      <c r="C89" s="1">
        <v>154</v>
      </c>
      <c r="D89">
        <f t="shared" si="1"/>
        <v>844</v>
      </c>
      <c r="E89" s="54" t="str" cm="1">
        <f t="array" ref="E89">_xlfn.IFS(AND(D88&gt;D89,D88&gt;D90),"Instagram has gained Highest Fallowers",AND(D89&gt;D88,D89&gt;D90),"Twitter has gained Highest Fallowers",AND(D90&gt;D89,D90&gt;D88),"Youtube has gained Highest Fallowers")</f>
        <v>Youtube has gained Highest Fallowers</v>
      </c>
      <c r="F89" s="54"/>
      <c r="G89" s="54"/>
      <c r="H89" s="54"/>
    </row>
    <row r="90" spans="1:8" x14ac:dyDescent="0.25">
      <c r="A90" s="7" t="s">
        <v>12</v>
      </c>
      <c r="B90" s="1">
        <v>1421</v>
      </c>
      <c r="C90" s="1">
        <v>246</v>
      </c>
      <c r="D90">
        <f t="shared" si="1"/>
        <v>1175</v>
      </c>
    </row>
    <row r="91" spans="1:8" x14ac:dyDescent="0.25">
      <c r="A91" s="12">
        <v>45572</v>
      </c>
      <c r="B91" s="1">
        <v>2770</v>
      </c>
      <c r="C91" s="1">
        <v>432</v>
      </c>
      <c r="D91" s="13">
        <f t="shared" si="1"/>
        <v>2338</v>
      </c>
    </row>
    <row r="92" spans="1:8" x14ac:dyDescent="0.25">
      <c r="A92" s="7" t="s">
        <v>11</v>
      </c>
      <c r="B92" s="1">
        <v>764</v>
      </c>
      <c r="C92" s="1">
        <v>205</v>
      </c>
      <c r="D92">
        <f t="shared" si="1"/>
        <v>559</v>
      </c>
    </row>
    <row r="93" spans="1:8" x14ac:dyDescent="0.25">
      <c r="A93" s="7" t="s">
        <v>17</v>
      </c>
      <c r="B93" s="1">
        <v>678</v>
      </c>
      <c r="C93" s="1">
        <v>124</v>
      </c>
      <c r="D93">
        <f t="shared" si="1"/>
        <v>554</v>
      </c>
      <c r="E93" s="54" t="str" cm="1">
        <f t="array" ref="E93">_xlfn.IFS(AND(D92&gt;D93,D92&gt;D94),"Instagram has gained Highest Fallowers",AND(D93&gt;D92,D93&gt;D94),"Twitter has gained Highest Fallowers",AND(D94&gt;D93,D94&gt;D92),"Youtube has gained Highest Fallowers")</f>
        <v>Youtube has gained Highest Fallowers</v>
      </c>
      <c r="F93" s="54"/>
      <c r="G93" s="54"/>
      <c r="H93" s="54"/>
    </row>
    <row r="94" spans="1:8" x14ac:dyDescent="0.25">
      <c r="A94" s="7" t="s">
        <v>12</v>
      </c>
      <c r="B94" s="1">
        <v>1328</v>
      </c>
      <c r="C94" s="1">
        <v>103</v>
      </c>
      <c r="D94">
        <f t="shared" si="1"/>
        <v>1225</v>
      </c>
    </row>
    <row r="95" spans="1:8" x14ac:dyDescent="0.25">
      <c r="A95" s="12">
        <v>45579</v>
      </c>
      <c r="B95" s="1">
        <v>3206</v>
      </c>
      <c r="C95" s="1">
        <v>536</v>
      </c>
      <c r="D95" s="13">
        <f t="shared" si="1"/>
        <v>2670</v>
      </c>
    </row>
    <row r="96" spans="1:8" x14ac:dyDescent="0.25">
      <c r="A96" s="7" t="s">
        <v>11</v>
      </c>
      <c r="B96" s="1">
        <v>1161</v>
      </c>
      <c r="C96" s="1">
        <v>269</v>
      </c>
      <c r="D96">
        <f t="shared" si="1"/>
        <v>892</v>
      </c>
    </row>
    <row r="97" spans="1:8" x14ac:dyDescent="0.25">
      <c r="A97" s="7" t="s">
        <v>17</v>
      </c>
      <c r="B97" s="1">
        <v>588</v>
      </c>
      <c r="C97" s="1">
        <v>52</v>
      </c>
      <c r="D97">
        <f t="shared" si="1"/>
        <v>536</v>
      </c>
      <c r="E97" s="54" t="str" cm="1">
        <f t="array" ref="E97">_xlfn.IFS(AND(D96&gt;D97,D96&gt;D98),"Instagram has gained Highest Fallowers",AND(D97&gt;D96,D97&gt;D98),"Twitter has gained Highest Fallowers",AND(D98&gt;D97,D98&gt;D96),"Youtube has gained Highest Fallowers")</f>
        <v>Youtube has gained Highest Fallowers</v>
      </c>
      <c r="F97" s="54"/>
      <c r="G97" s="54"/>
      <c r="H97" s="54"/>
    </row>
    <row r="98" spans="1:8" x14ac:dyDescent="0.25">
      <c r="A98" s="7" t="s">
        <v>12</v>
      </c>
      <c r="B98" s="1">
        <v>1457</v>
      </c>
      <c r="C98" s="1">
        <v>215</v>
      </c>
      <c r="D98">
        <f t="shared" si="1"/>
        <v>1242</v>
      </c>
    </row>
    <row r="99" spans="1:8" x14ac:dyDescent="0.25">
      <c r="A99" s="12">
        <v>45586</v>
      </c>
      <c r="B99" s="1">
        <v>3313</v>
      </c>
      <c r="C99" s="1">
        <v>521</v>
      </c>
      <c r="D99" s="13">
        <f t="shared" si="1"/>
        <v>2792</v>
      </c>
    </row>
    <row r="100" spans="1:8" x14ac:dyDescent="0.25">
      <c r="A100" s="7" t="s">
        <v>11</v>
      </c>
      <c r="B100" s="1">
        <v>1190</v>
      </c>
      <c r="C100" s="1">
        <v>242</v>
      </c>
      <c r="D100">
        <f t="shared" si="1"/>
        <v>948</v>
      </c>
    </row>
    <row r="101" spans="1:8" x14ac:dyDescent="0.25">
      <c r="A101" s="7" t="s">
        <v>17</v>
      </c>
      <c r="B101" s="1">
        <v>886</v>
      </c>
      <c r="C101" s="1">
        <v>124</v>
      </c>
      <c r="D101">
        <f t="shared" si="1"/>
        <v>762</v>
      </c>
      <c r="E101" s="54" t="str" cm="1">
        <f t="array" ref="E101">_xlfn.IFS(AND(D100&gt;D101,D100&gt;D102),"Instagram has gained Highest Fallowers",AND(D101&gt;D100,D101&gt;D102),"Twitter has gained Highest Fallowers",AND(D102&gt;D101,D102&gt;D100),"Youtube has gained Highest Fallowers")</f>
        <v>Youtube has gained Highest Fallowers</v>
      </c>
      <c r="F101" s="54"/>
      <c r="G101" s="54"/>
      <c r="H101" s="54"/>
    </row>
    <row r="102" spans="1:8" x14ac:dyDescent="0.25">
      <c r="A102" s="7" t="s">
        <v>12</v>
      </c>
      <c r="B102" s="1">
        <v>1237</v>
      </c>
      <c r="C102" s="1">
        <v>155</v>
      </c>
      <c r="D102">
        <f t="shared" si="1"/>
        <v>1082</v>
      </c>
    </row>
    <row r="103" spans="1:8" x14ac:dyDescent="0.25">
      <c r="A103" s="12">
        <v>45593</v>
      </c>
      <c r="B103" s="1">
        <v>2940</v>
      </c>
      <c r="C103" s="1">
        <v>759</v>
      </c>
      <c r="D103" s="13">
        <f t="shared" si="1"/>
        <v>2181</v>
      </c>
    </row>
    <row r="104" spans="1:8" x14ac:dyDescent="0.25">
      <c r="A104" s="7" t="s">
        <v>11</v>
      </c>
      <c r="B104" s="1">
        <v>1435</v>
      </c>
      <c r="C104" s="1">
        <v>261</v>
      </c>
      <c r="D104">
        <f t="shared" si="1"/>
        <v>1174</v>
      </c>
    </row>
    <row r="105" spans="1:8" x14ac:dyDescent="0.25">
      <c r="A105" s="7" t="s">
        <v>17</v>
      </c>
      <c r="B105" s="1">
        <v>746</v>
      </c>
      <c r="C105" s="1">
        <v>282</v>
      </c>
      <c r="D105">
        <f t="shared" si="1"/>
        <v>464</v>
      </c>
      <c r="E105" s="54" t="str" cm="1">
        <f t="array" ref="E105">_xlfn.IFS(AND(D104&gt;D105,D104&gt;D106),"Instagram has gained Highest Fallowers",AND(D105&gt;D104,D105&gt;D106),"Twitter has gained Highest Fallowers",AND(D106&gt;D105,D106&gt;D104),"Youtube has gained Highest Fallowers")</f>
        <v>Instagram has gained Highest Fallowers</v>
      </c>
      <c r="F105" s="54"/>
      <c r="G105" s="54"/>
      <c r="H105" s="54"/>
    </row>
    <row r="106" spans="1:8" x14ac:dyDescent="0.25">
      <c r="A106" s="7" t="s">
        <v>12</v>
      </c>
      <c r="B106" s="1">
        <v>759</v>
      </c>
      <c r="C106" s="1">
        <v>216</v>
      </c>
      <c r="D106">
        <f t="shared" si="1"/>
        <v>543</v>
      </c>
    </row>
    <row r="107" spans="1:8" x14ac:dyDescent="0.25">
      <c r="A107" s="12">
        <v>45600</v>
      </c>
      <c r="B107" s="1">
        <v>4108</v>
      </c>
      <c r="C107" s="1">
        <v>532</v>
      </c>
      <c r="D107" s="13">
        <f t="shared" si="1"/>
        <v>3576</v>
      </c>
    </row>
    <row r="108" spans="1:8" x14ac:dyDescent="0.25">
      <c r="A108" s="7" t="s">
        <v>11</v>
      </c>
      <c r="B108" s="1">
        <v>1437</v>
      </c>
      <c r="C108" s="1">
        <v>235</v>
      </c>
      <c r="D108">
        <f t="shared" si="1"/>
        <v>1202</v>
      </c>
    </row>
    <row r="109" spans="1:8" x14ac:dyDescent="0.25">
      <c r="A109" s="7" t="s">
        <v>17</v>
      </c>
      <c r="B109" s="1">
        <v>1463</v>
      </c>
      <c r="C109" s="1">
        <v>73</v>
      </c>
      <c r="D109">
        <f t="shared" si="1"/>
        <v>1390</v>
      </c>
      <c r="E109" s="54" t="str" cm="1">
        <f t="array" ref="E109">_xlfn.IFS(AND(D108&gt;D109,D108&gt;D110),"Instagram has gained Highest Fallowers",AND(D109&gt;D108,D109&gt;D110),"Twitter has gained Highest Fallowers",AND(D110&gt;D109,D110&gt;D108),"Youtube has gained Highest Fallowers")</f>
        <v>Twitter has gained Highest Fallowers</v>
      </c>
      <c r="F109" s="54"/>
      <c r="G109" s="54"/>
      <c r="H109" s="54"/>
    </row>
    <row r="110" spans="1:8" x14ac:dyDescent="0.25">
      <c r="A110" s="7" t="s">
        <v>12</v>
      </c>
      <c r="B110" s="1">
        <v>1208</v>
      </c>
      <c r="C110" s="1">
        <v>224</v>
      </c>
      <c r="D110">
        <f t="shared" si="1"/>
        <v>984</v>
      </c>
    </row>
    <row r="111" spans="1:8" x14ac:dyDescent="0.25">
      <c r="A111" s="12">
        <v>45607</v>
      </c>
      <c r="B111" s="1">
        <v>3194</v>
      </c>
      <c r="C111" s="1">
        <v>400</v>
      </c>
      <c r="D111" s="13">
        <f t="shared" si="1"/>
        <v>2794</v>
      </c>
    </row>
    <row r="112" spans="1:8" x14ac:dyDescent="0.25">
      <c r="A112" s="7" t="s">
        <v>11</v>
      </c>
      <c r="B112" s="1">
        <v>1391</v>
      </c>
      <c r="C112" s="1">
        <v>187</v>
      </c>
      <c r="D112">
        <f t="shared" si="1"/>
        <v>1204</v>
      </c>
    </row>
    <row r="113" spans="1:8" x14ac:dyDescent="0.25">
      <c r="A113" s="7" t="s">
        <v>17</v>
      </c>
      <c r="B113" s="1">
        <v>655</v>
      </c>
      <c r="C113" s="1">
        <v>123</v>
      </c>
      <c r="D113">
        <f t="shared" si="1"/>
        <v>532</v>
      </c>
      <c r="E113" s="54" t="str" cm="1">
        <f t="array" ref="E113">_xlfn.IFS(AND(D112&gt;D113,D112&gt;D114),"Instagram has gained Highest Fallowers",AND(D113&gt;D112,D113&gt;D114),"Twitter has gained Highest Fallowers",AND(D114&gt;D113,D114&gt;D112),"Youtube has gained Highest Fallowers")</f>
        <v>Instagram has gained Highest Fallowers</v>
      </c>
      <c r="F113" s="54"/>
      <c r="G113" s="54"/>
      <c r="H113" s="54"/>
    </row>
    <row r="114" spans="1:8" x14ac:dyDescent="0.25">
      <c r="A114" s="7" t="s">
        <v>12</v>
      </c>
      <c r="B114" s="1">
        <v>1148</v>
      </c>
      <c r="C114" s="1">
        <v>90</v>
      </c>
      <c r="D114">
        <f t="shared" si="1"/>
        <v>1058</v>
      </c>
    </row>
    <row r="115" spans="1:8" x14ac:dyDescent="0.25">
      <c r="A115" s="12">
        <v>45614</v>
      </c>
      <c r="B115" s="1">
        <v>2530</v>
      </c>
      <c r="C115" s="1">
        <v>595</v>
      </c>
      <c r="D115" s="13">
        <f t="shared" si="1"/>
        <v>1935</v>
      </c>
    </row>
    <row r="116" spans="1:8" x14ac:dyDescent="0.25">
      <c r="A116" s="7" t="s">
        <v>11</v>
      </c>
      <c r="B116" s="1">
        <v>946</v>
      </c>
      <c r="C116" s="1">
        <v>270</v>
      </c>
      <c r="D116">
        <f t="shared" si="1"/>
        <v>676</v>
      </c>
    </row>
    <row r="117" spans="1:8" x14ac:dyDescent="0.25">
      <c r="A117" s="7" t="s">
        <v>17</v>
      </c>
      <c r="B117" s="1">
        <v>791</v>
      </c>
      <c r="C117" s="1">
        <v>214</v>
      </c>
      <c r="D117">
        <f t="shared" si="1"/>
        <v>577</v>
      </c>
      <c r="E117" s="54" t="str" cm="1">
        <f t="array" ref="E117">_xlfn.IFS(AND(D116&gt;D117,D116&gt;D118),"Instagram has gained Highest Fallowers",AND(D117&gt;D116,D117&gt;D118),"Twitter has gained Highest Fallowers",AND(D118&gt;D117,D118&gt;D116),"Youtube has gained Highest Fallowers")</f>
        <v>Youtube has gained Highest Fallowers</v>
      </c>
      <c r="F117" s="54"/>
      <c r="G117" s="54"/>
      <c r="H117" s="54"/>
    </row>
    <row r="118" spans="1:8" x14ac:dyDescent="0.25">
      <c r="A118" s="7" t="s">
        <v>12</v>
      </c>
      <c r="B118" s="1">
        <v>793</v>
      </c>
      <c r="C118" s="1">
        <v>111</v>
      </c>
      <c r="D118">
        <f t="shared" si="1"/>
        <v>682</v>
      </c>
    </row>
    <row r="119" spans="1:8" x14ac:dyDescent="0.25">
      <c r="A119" s="12">
        <v>45621</v>
      </c>
      <c r="B119" s="1">
        <v>2930</v>
      </c>
      <c r="C119" s="1">
        <v>643</v>
      </c>
      <c r="D119" s="13">
        <f t="shared" si="1"/>
        <v>2287</v>
      </c>
    </row>
    <row r="120" spans="1:8" x14ac:dyDescent="0.25">
      <c r="A120" s="7" t="s">
        <v>11</v>
      </c>
      <c r="B120" s="1">
        <v>663</v>
      </c>
      <c r="C120" s="1">
        <v>213</v>
      </c>
      <c r="D120">
        <f t="shared" si="1"/>
        <v>450</v>
      </c>
    </row>
    <row r="121" spans="1:8" x14ac:dyDescent="0.25">
      <c r="A121" s="7" t="s">
        <v>17</v>
      </c>
      <c r="B121" s="1">
        <v>954</v>
      </c>
      <c r="C121" s="1">
        <v>271</v>
      </c>
      <c r="D121">
        <f t="shared" si="1"/>
        <v>683</v>
      </c>
      <c r="E121" s="54" t="str" cm="1">
        <f t="array" ref="E121">_xlfn.IFS(AND(D120&gt;D121,D120&gt;D122),"Instagram has gained Highest Fallowers",AND(D121&gt;D120,D121&gt;D122),"Twitter has gained Highest Fallowers",AND(D122&gt;D121,D122&gt;D120),"Youtube has gained Highest Fallowers")</f>
        <v>Youtube has gained Highest Fallowers</v>
      </c>
      <c r="F121" s="54"/>
      <c r="G121" s="54"/>
      <c r="H121" s="54"/>
    </row>
    <row r="122" spans="1:8" x14ac:dyDescent="0.25">
      <c r="A122" s="7" t="s">
        <v>12</v>
      </c>
      <c r="B122" s="1">
        <v>1313</v>
      </c>
      <c r="C122" s="1">
        <v>159</v>
      </c>
      <c r="D122">
        <f t="shared" si="1"/>
        <v>1154</v>
      </c>
    </row>
    <row r="123" spans="1:8" x14ac:dyDescent="0.25">
      <c r="A123" s="12">
        <v>45628</v>
      </c>
      <c r="B123" s="1">
        <v>2912</v>
      </c>
      <c r="C123" s="1">
        <v>529</v>
      </c>
      <c r="D123" s="13">
        <f t="shared" si="1"/>
        <v>2383</v>
      </c>
    </row>
    <row r="124" spans="1:8" x14ac:dyDescent="0.25">
      <c r="A124" s="7" t="s">
        <v>11</v>
      </c>
      <c r="B124" s="1">
        <v>895</v>
      </c>
      <c r="C124" s="1">
        <v>87</v>
      </c>
      <c r="D124">
        <f t="shared" si="1"/>
        <v>808</v>
      </c>
    </row>
    <row r="125" spans="1:8" x14ac:dyDescent="0.25">
      <c r="A125" s="7" t="s">
        <v>17</v>
      </c>
      <c r="B125" s="1">
        <v>1027</v>
      </c>
      <c r="C125" s="1">
        <v>156</v>
      </c>
      <c r="D125">
        <f t="shared" si="1"/>
        <v>871</v>
      </c>
      <c r="E125" s="54" t="str" cm="1">
        <f t="array" ref="E125">_xlfn.IFS(AND(D124&gt;D125,D124&gt;D126),"Instagram has gained Highest Fallowers",AND(D125&gt;D124,D125&gt;D126),"Twitter has gained Highest Fallowers",AND(D126&gt;D125,D126&gt;D124),"Youtube has gained Highest Fallowers")</f>
        <v>Twitter has gained Highest Fallowers</v>
      </c>
      <c r="F125" s="54"/>
      <c r="G125" s="54"/>
      <c r="H125" s="54"/>
    </row>
    <row r="126" spans="1:8" x14ac:dyDescent="0.25">
      <c r="A126" s="7" t="s">
        <v>12</v>
      </c>
      <c r="B126" s="1">
        <v>990</v>
      </c>
      <c r="C126" s="1">
        <v>286</v>
      </c>
      <c r="D126">
        <f t="shared" si="1"/>
        <v>704</v>
      </c>
    </row>
    <row r="127" spans="1:8" x14ac:dyDescent="0.25">
      <c r="A127" s="12">
        <v>45635</v>
      </c>
      <c r="B127" s="1">
        <v>2104</v>
      </c>
      <c r="C127" s="1">
        <v>706</v>
      </c>
      <c r="D127" s="13">
        <f t="shared" si="1"/>
        <v>1398</v>
      </c>
    </row>
    <row r="128" spans="1:8" x14ac:dyDescent="0.25">
      <c r="A128" s="7" t="s">
        <v>11</v>
      </c>
      <c r="B128" s="1">
        <v>875</v>
      </c>
      <c r="C128" s="1">
        <v>264</v>
      </c>
      <c r="D128">
        <f t="shared" si="1"/>
        <v>611</v>
      </c>
    </row>
    <row r="129" spans="1:8" x14ac:dyDescent="0.25">
      <c r="A129" s="7" t="s">
        <v>17</v>
      </c>
      <c r="B129" s="1">
        <v>599</v>
      </c>
      <c r="C129" s="1">
        <v>194</v>
      </c>
      <c r="D129">
        <f t="shared" si="1"/>
        <v>405</v>
      </c>
      <c r="E129" s="54" t="str" cm="1">
        <f t="array" ref="E129">_xlfn.IFS(AND(D128&gt;D129,D128&gt;D130),"Instagram has gained Highest Fallowers",AND(D129&gt;D128,D129&gt;D130),"Twitter has gained Highest Fallowers",AND(D130&gt;D129,D130&gt;D128),"Youtube has gained Highest Fallowers")</f>
        <v>Instagram has gained Highest Fallowers</v>
      </c>
      <c r="F129" s="54"/>
      <c r="G129" s="54"/>
      <c r="H129" s="54"/>
    </row>
    <row r="130" spans="1:8" x14ac:dyDescent="0.25">
      <c r="A130" s="7" t="s">
        <v>12</v>
      </c>
      <c r="B130" s="1">
        <v>630</v>
      </c>
      <c r="C130" s="1">
        <v>248</v>
      </c>
      <c r="D130">
        <f t="shared" si="1"/>
        <v>382</v>
      </c>
    </row>
    <row r="131" spans="1:8" x14ac:dyDescent="0.25">
      <c r="A131" s="12">
        <v>45642</v>
      </c>
      <c r="B131" s="1">
        <v>3164</v>
      </c>
      <c r="C131" s="1">
        <v>471</v>
      </c>
      <c r="D131" s="13">
        <f t="shared" si="1"/>
        <v>2693</v>
      </c>
    </row>
    <row r="132" spans="1:8" x14ac:dyDescent="0.25">
      <c r="A132" s="7" t="s">
        <v>11</v>
      </c>
      <c r="B132" s="1">
        <v>1350</v>
      </c>
      <c r="C132" s="1">
        <v>233</v>
      </c>
      <c r="D132">
        <f t="shared" si="1"/>
        <v>1117</v>
      </c>
    </row>
    <row r="133" spans="1:8" x14ac:dyDescent="0.25">
      <c r="A133" s="7" t="s">
        <v>17</v>
      </c>
      <c r="B133" s="1">
        <v>632</v>
      </c>
      <c r="C133" s="1">
        <v>155</v>
      </c>
      <c r="D133">
        <f t="shared" si="1"/>
        <v>477</v>
      </c>
      <c r="E133" s="54" t="str" cm="1">
        <f t="array" ref="E133">_xlfn.IFS(AND(D132&gt;D133,D132&gt;D134),"Instagram has gained Highest Fallowers",AND(D133&gt;D132,D133&gt;D134),"Twitter has gained Highest Fallowers",AND(D134&gt;D133,D134&gt;D132),"Youtube has gained Highest Fallowers")</f>
        <v>Instagram has gained Highest Fallowers</v>
      </c>
      <c r="F133" s="54"/>
      <c r="G133" s="54"/>
      <c r="H133" s="54"/>
    </row>
    <row r="134" spans="1:8" x14ac:dyDescent="0.25">
      <c r="A134" s="7" t="s">
        <v>12</v>
      </c>
      <c r="B134" s="1">
        <v>1182</v>
      </c>
      <c r="C134" s="1">
        <v>83</v>
      </c>
      <c r="D134">
        <f t="shared" si="1"/>
        <v>1099</v>
      </c>
    </row>
    <row r="135" spans="1:8" x14ac:dyDescent="0.25">
      <c r="A135" s="12">
        <v>45649</v>
      </c>
      <c r="B135" s="1">
        <v>2956</v>
      </c>
      <c r="C135" s="1">
        <v>406</v>
      </c>
      <c r="D135" s="13">
        <f t="shared" si="1"/>
        <v>2550</v>
      </c>
    </row>
    <row r="136" spans="1:8" x14ac:dyDescent="0.25">
      <c r="A136" s="7" t="s">
        <v>11</v>
      </c>
      <c r="B136" s="1">
        <v>661</v>
      </c>
      <c r="C136" s="1">
        <v>94</v>
      </c>
      <c r="D136">
        <f t="shared" si="1"/>
        <v>567</v>
      </c>
    </row>
    <row r="137" spans="1:8" x14ac:dyDescent="0.25">
      <c r="A137" s="7" t="s">
        <v>17</v>
      </c>
      <c r="B137" s="1">
        <v>1360</v>
      </c>
      <c r="C137" s="1">
        <v>227</v>
      </c>
      <c r="D137">
        <f t="shared" si="1"/>
        <v>1133</v>
      </c>
      <c r="E137" s="54" t="str" cm="1">
        <f t="array" ref="E137">_xlfn.IFS(AND(D136&gt;D137,D136&gt;D138),"Instagram has gained Highest Fallowers",AND(D137&gt;D136,D137&gt;D138),"Twitter has gained Highest Fallowers",AND(D138&gt;D137,D138&gt;D136),"Youtube has gained Highest Fallowers")</f>
        <v>Twitter has gained Highest Fallowers</v>
      </c>
      <c r="F137" s="54"/>
      <c r="G137" s="54"/>
      <c r="H137" s="54"/>
    </row>
    <row r="138" spans="1:8" x14ac:dyDescent="0.25">
      <c r="A138" s="7" t="s">
        <v>12</v>
      </c>
      <c r="B138" s="1">
        <v>935</v>
      </c>
      <c r="C138" s="1">
        <v>85</v>
      </c>
      <c r="D138">
        <f t="shared" si="1"/>
        <v>850</v>
      </c>
    </row>
    <row r="139" spans="1:8" x14ac:dyDescent="0.25">
      <c r="A139" s="12">
        <v>45656</v>
      </c>
      <c r="B139" s="1">
        <v>2755</v>
      </c>
      <c r="C139" s="1">
        <v>418</v>
      </c>
      <c r="D139" s="13">
        <f t="shared" si="1"/>
        <v>2337</v>
      </c>
    </row>
    <row r="140" spans="1:8" x14ac:dyDescent="0.25">
      <c r="A140" s="7" t="s">
        <v>11</v>
      </c>
      <c r="B140" s="1">
        <v>664</v>
      </c>
      <c r="C140" s="1">
        <v>251</v>
      </c>
      <c r="D140">
        <f t="shared" si="1"/>
        <v>413</v>
      </c>
    </row>
    <row r="141" spans="1:8" x14ac:dyDescent="0.25">
      <c r="A141" s="7" t="s">
        <v>17</v>
      </c>
      <c r="B141" s="1">
        <v>1490</v>
      </c>
      <c r="C141" s="1">
        <v>103</v>
      </c>
      <c r="D141">
        <f t="shared" si="1"/>
        <v>1387</v>
      </c>
      <c r="E141" s="54" t="str" cm="1">
        <f t="array" ref="E141">_xlfn.IFS(AND(D140&gt;D141,D140&gt;D142),"Instagram has gained Highest Fallowers",AND(D141&gt;D140,D141&gt;D142),"Twitter has gained Highest Fallowers",AND(D142&gt;D141,D142&gt;D140),"Youtube has gained Highest Fallowers")</f>
        <v>Twitter has gained Highest Fallowers</v>
      </c>
      <c r="F141" s="54"/>
      <c r="G141" s="54"/>
      <c r="H141" s="54"/>
    </row>
    <row r="142" spans="1:8" x14ac:dyDescent="0.25">
      <c r="A142" s="7" t="s">
        <v>12</v>
      </c>
      <c r="B142" s="1">
        <v>601</v>
      </c>
      <c r="C142" s="1">
        <v>64</v>
      </c>
      <c r="D142">
        <f t="shared" si="1"/>
        <v>537</v>
      </c>
    </row>
    <row r="143" spans="1:8" x14ac:dyDescent="0.25">
      <c r="A143" s="12">
        <v>45663</v>
      </c>
      <c r="B143" s="1">
        <v>2906</v>
      </c>
      <c r="C143" s="1">
        <v>455</v>
      </c>
      <c r="D143" s="13">
        <f t="shared" si="1"/>
        <v>2451</v>
      </c>
    </row>
    <row r="144" spans="1:8" x14ac:dyDescent="0.25">
      <c r="A144" s="7" t="s">
        <v>11</v>
      </c>
      <c r="B144" s="1">
        <v>613</v>
      </c>
      <c r="C144" s="1">
        <v>170</v>
      </c>
      <c r="D144">
        <f t="shared" si="1"/>
        <v>443</v>
      </c>
    </row>
    <row r="145" spans="1:8" x14ac:dyDescent="0.25">
      <c r="A145" s="7" t="s">
        <v>17</v>
      </c>
      <c r="B145" s="1">
        <v>1340</v>
      </c>
      <c r="C145" s="1">
        <v>57</v>
      </c>
      <c r="D145">
        <f t="shared" si="1"/>
        <v>1283</v>
      </c>
      <c r="E145" s="54" t="str" cm="1">
        <f t="array" ref="E145">_xlfn.IFS(AND(D144&gt;D145,D144&gt;D146),"Instagram has gained Highest Fallowers",AND(D145&gt;D144,D145&gt;D146),"Twitter has gained Highest Fallowers",AND(D146&gt;D145,D146&gt;D144),"Youtube has gained Highest Fallowers")</f>
        <v>Twitter has gained Highest Fallowers</v>
      </c>
      <c r="F145" s="54"/>
      <c r="G145" s="54"/>
      <c r="H145" s="54"/>
    </row>
    <row r="146" spans="1:8" x14ac:dyDescent="0.25">
      <c r="A146" s="7" t="s">
        <v>12</v>
      </c>
      <c r="B146" s="1">
        <v>953</v>
      </c>
      <c r="C146" s="1">
        <v>228</v>
      </c>
      <c r="D146">
        <f t="shared" si="1"/>
        <v>725</v>
      </c>
    </row>
    <row r="147" spans="1:8" x14ac:dyDescent="0.25">
      <c r="A147" s="12">
        <v>45670</v>
      </c>
      <c r="B147" s="1">
        <v>2631</v>
      </c>
      <c r="C147" s="1">
        <v>290</v>
      </c>
      <c r="D147" s="13">
        <f t="shared" si="1"/>
        <v>2341</v>
      </c>
    </row>
    <row r="148" spans="1:8" x14ac:dyDescent="0.25">
      <c r="A148" s="7" t="s">
        <v>11</v>
      </c>
      <c r="B148" s="1">
        <v>532</v>
      </c>
      <c r="C148" s="1">
        <v>65</v>
      </c>
      <c r="D148">
        <f t="shared" si="1"/>
        <v>467</v>
      </c>
    </row>
    <row r="149" spans="1:8" x14ac:dyDescent="0.25">
      <c r="A149" s="7" t="s">
        <v>17</v>
      </c>
      <c r="B149" s="1">
        <v>1414</v>
      </c>
      <c r="C149" s="1">
        <v>60</v>
      </c>
      <c r="D149">
        <f t="shared" ref="D149:D212" si="2">B149-C149</f>
        <v>1354</v>
      </c>
      <c r="E149" s="54" t="str" cm="1">
        <f t="array" ref="E149">_xlfn.IFS(AND(D148&gt;D149,D148&gt;D150),"Instagram has gained Highest Fallowers",AND(D149&gt;D148,D149&gt;D150),"Twitter has gained Highest Fallowers",AND(D150&gt;D149,D150&gt;D148),"Youtube has gained Highest Fallowers")</f>
        <v>Twitter has gained Highest Fallowers</v>
      </c>
      <c r="F149" s="54"/>
      <c r="G149" s="54"/>
      <c r="H149" s="54"/>
    </row>
    <row r="150" spans="1:8" x14ac:dyDescent="0.25">
      <c r="A150" s="7" t="s">
        <v>12</v>
      </c>
      <c r="B150" s="1">
        <v>685</v>
      </c>
      <c r="C150" s="1">
        <v>165</v>
      </c>
      <c r="D150">
        <f t="shared" si="2"/>
        <v>520</v>
      </c>
    </row>
    <row r="151" spans="1:8" x14ac:dyDescent="0.25">
      <c r="A151" s="12">
        <v>45677</v>
      </c>
      <c r="B151" s="1">
        <v>2547</v>
      </c>
      <c r="C151" s="1">
        <v>715</v>
      </c>
      <c r="D151" s="13">
        <f t="shared" si="2"/>
        <v>1832</v>
      </c>
    </row>
    <row r="152" spans="1:8" x14ac:dyDescent="0.25">
      <c r="A152" s="7" t="s">
        <v>11</v>
      </c>
      <c r="B152" s="1">
        <v>601</v>
      </c>
      <c r="C152" s="1">
        <v>159</v>
      </c>
      <c r="D152">
        <f t="shared" si="2"/>
        <v>442</v>
      </c>
    </row>
    <row r="153" spans="1:8" x14ac:dyDescent="0.25">
      <c r="A153" s="7" t="s">
        <v>17</v>
      </c>
      <c r="B153" s="1">
        <v>841</v>
      </c>
      <c r="C153" s="1">
        <v>295</v>
      </c>
      <c r="D153">
        <f t="shared" si="2"/>
        <v>546</v>
      </c>
      <c r="E153" s="54" t="str" cm="1">
        <f t="array" ref="E153">_xlfn.IFS(AND(D152&gt;D153,D152&gt;D154),"Instagram has gained Highest Fallowers",AND(D153&gt;D152,D153&gt;D154),"Twitter has gained Highest Fallowers",AND(D154&gt;D153,D154&gt;D152),"Youtube has gained Highest Fallowers")</f>
        <v>Youtube has gained Highest Fallowers</v>
      </c>
      <c r="F153" s="54"/>
      <c r="G153" s="54"/>
      <c r="H153" s="54"/>
    </row>
    <row r="154" spans="1:8" x14ac:dyDescent="0.25">
      <c r="A154" s="7" t="s">
        <v>12</v>
      </c>
      <c r="B154" s="1">
        <v>1105</v>
      </c>
      <c r="C154" s="1">
        <v>261</v>
      </c>
      <c r="D154">
        <f t="shared" si="2"/>
        <v>844</v>
      </c>
    </row>
    <row r="155" spans="1:8" x14ac:dyDescent="0.25">
      <c r="A155" s="12">
        <v>45684</v>
      </c>
      <c r="B155" s="1">
        <v>2534</v>
      </c>
      <c r="C155" s="1">
        <v>606</v>
      </c>
      <c r="D155" s="13">
        <f t="shared" si="2"/>
        <v>1928</v>
      </c>
    </row>
    <row r="156" spans="1:8" x14ac:dyDescent="0.25">
      <c r="A156" s="7" t="s">
        <v>11</v>
      </c>
      <c r="B156" s="1">
        <v>566</v>
      </c>
      <c r="C156" s="1">
        <v>225</v>
      </c>
      <c r="D156">
        <f t="shared" si="2"/>
        <v>341</v>
      </c>
    </row>
    <row r="157" spans="1:8" x14ac:dyDescent="0.25">
      <c r="A157" s="7" t="s">
        <v>17</v>
      </c>
      <c r="B157" s="1">
        <v>1149</v>
      </c>
      <c r="C157" s="1">
        <v>280</v>
      </c>
      <c r="D157">
        <f t="shared" si="2"/>
        <v>869</v>
      </c>
      <c r="E157" s="54" t="str" cm="1">
        <f t="array" ref="E157">_xlfn.IFS(AND(D156&gt;D157,D156&gt;D158),"Instagram has gained Highest Fallowers",AND(D157&gt;D156,D157&gt;D158),"Twitter has gained Highest Fallowers",AND(D158&gt;D157,D158&gt;D156),"Youtube has gained Highest Fallowers")</f>
        <v>Twitter has gained Highest Fallowers</v>
      </c>
      <c r="F157" s="54"/>
      <c r="G157" s="54"/>
      <c r="H157" s="54"/>
    </row>
    <row r="158" spans="1:8" x14ac:dyDescent="0.25">
      <c r="A158" s="7" t="s">
        <v>12</v>
      </c>
      <c r="B158" s="1">
        <v>819</v>
      </c>
      <c r="C158" s="1">
        <v>101</v>
      </c>
      <c r="D158">
        <f t="shared" si="2"/>
        <v>718</v>
      </c>
    </row>
    <row r="159" spans="1:8" x14ac:dyDescent="0.25">
      <c r="A159" s="12">
        <v>45691</v>
      </c>
      <c r="B159" s="1">
        <v>2010</v>
      </c>
      <c r="C159" s="1">
        <v>330</v>
      </c>
      <c r="D159" s="13">
        <f t="shared" si="2"/>
        <v>1680</v>
      </c>
    </row>
    <row r="160" spans="1:8" x14ac:dyDescent="0.25">
      <c r="A160" s="7" t="s">
        <v>11</v>
      </c>
      <c r="B160" s="1">
        <v>795</v>
      </c>
      <c r="C160" s="1">
        <v>60</v>
      </c>
      <c r="D160">
        <f t="shared" si="2"/>
        <v>735</v>
      </c>
    </row>
    <row r="161" spans="1:8" x14ac:dyDescent="0.25">
      <c r="A161" s="7" t="s">
        <v>17</v>
      </c>
      <c r="B161" s="1">
        <v>681</v>
      </c>
      <c r="C161" s="1">
        <v>158</v>
      </c>
      <c r="D161">
        <f t="shared" si="2"/>
        <v>523</v>
      </c>
      <c r="E161" s="54" t="str" cm="1">
        <f t="array" ref="E161">_xlfn.IFS(AND(D160&gt;D161,D160&gt;D162),"Instagram has gained Highest Fallowers",AND(D161&gt;D160,D161&gt;D162),"Twitter has gained Highest Fallowers",AND(D162&gt;D161,D162&gt;D160),"Youtube has gained Highest Fallowers")</f>
        <v>Instagram has gained Highest Fallowers</v>
      </c>
      <c r="F161" s="54"/>
      <c r="G161" s="54"/>
      <c r="H161" s="54"/>
    </row>
    <row r="162" spans="1:8" x14ac:dyDescent="0.25">
      <c r="A162" s="7" t="s">
        <v>12</v>
      </c>
      <c r="B162" s="1">
        <v>534</v>
      </c>
      <c r="C162" s="1">
        <v>112</v>
      </c>
      <c r="D162">
        <f t="shared" si="2"/>
        <v>422</v>
      </c>
    </row>
    <row r="163" spans="1:8" x14ac:dyDescent="0.25">
      <c r="A163" s="12">
        <v>45698</v>
      </c>
      <c r="B163" s="1">
        <v>2872</v>
      </c>
      <c r="C163" s="1">
        <v>511</v>
      </c>
      <c r="D163" s="13">
        <f t="shared" si="2"/>
        <v>2361</v>
      </c>
    </row>
    <row r="164" spans="1:8" x14ac:dyDescent="0.25">
      <c r="A164" s="7" t="s">
        <v>11</v>
      </c>
      <c r="B164" s="1">
        <v>1066</v>
      </c>
      <c r="C164" s="1">
        <v>151</v>
      </c>
      <c r="D164">
        <f t="shared" si="2"/>
        <v>915</v>
      </c>
    </row>
    <row r="165" spans="1:8" x14ac:dyDescent="0.25">
      <c r="A165" s="7" t="s">
        <v>17</v>
      </c>
      <c r="B165" s="1">
        <v>1270</v>
      </c>
      <c r="C165" s="1">
        <v>162</v>
      </c>
      <c r="D165">
        <f t="shared" si="2"/>
        <v>1108</v>
      </c>
      <c r="E165" s="54" t="str" cm="1">
        <f t="array" ref="E165">_xlfn.IFS(AND(D164&gt;D165,D164&gt;D166),"Instagram has gained Highest Fallowers",AND(D165&gt;D164,D165&gt;D166),"Twitter has gained Highest Fallowers",AND(D166&gt;D165,D166&gt;D164),"Youtube has gained Highest Fallowers")</f>
        <v>Twitter has gained Highest Fallowers</v>
      </c>
      <c r="F165" s="54"/>
      <c r="G165" s="54"/>
      <c r="H165" s="54"/>
    </row>
    <row r="166" spans="1:8" x14ac:dyDescent="0.25">
      <c r="A166" s="7" t="s">
        <v>12</v>
      </c>
      <c r="B166" s="1">
        <v>536</v>
      </c>
      <c r="C166" s="1">
        <v>198</v>
      </c>
      <c r="D166">
        <f t="shared" si="2"/>
        <v>338</v>
      </c>
    </row>
    <row r="167" spans="1:8" x14ac:dyDescent="0.25">
      <c r="A167" s="12">
        <v>45705</v>
      </c>
      <c r="B167" s="1">
        <v>2146</v>
      </c>
      <c r="C167" s="1">
        <v>603</v>
      </c>
      <c r="D167" s="13">
        <f t="shared" si="2"/>
        <v>1543</v>
      </c>
    </row>
    <row r="168" spans="1:8" x14ac:dyDescent="0.25">
      <c r="A168" s="7" t="s">
        <v>11</v>
      </c>
      <c r="B168" s="1">
        <v>819</v>
      </c>
      <c r="C168" s="1">
        <v>95</v>
      </c>
      <c r="D168">
        <f t="shared" si="2"/>
        <v>724</v>
      </c>
    </row>
    <row r="169" spans="1:8" x14ac:dyDescent="0.25">
      <c r="A169" s="7" t="s">
        <v>17</v>
      </c>
      <c r="B169" s="1">
        <v>681</v>
      </c>
      <c r="C169" s="1">
        <v>218</v>
      </c>
      <c r="D169">
        <f t="shared" si="2"/>
        <v>463</v>
      </c>
      <c r="E169" s="54" t="str" cm="1">
        <f t="array" ref="E169">_xlfn.IFS(AND(D168&gt;D169,D168&gt;D170),"Instagram has gained Highest Fallowers",AND(D169&gt;D168,D169&gt;D170),"Twitter has gained Highest Fallowers",AND(D170&gt;D169,D170&gt;D168),"Youtube has gained Highest Fallowers")</f>
        <v>Instagram has gained Highest Fallowers</v>
      </c>
      <c r="F169" s="54"/>
      <c r="G169" s="54"/>
      <c r="H169" s="54"/>
    </row>
    <row r="170" spans="1:8" x14ac:dyDescent="0.25">
      <c r="A170" s="7" t="s">
        <v>12</v>
      </c>
      <c r="B170" s="1">
        <v>646</v>
      </c>
      <c r="C170" s="1">
        <v>290</v>
      </c>
      <c r="D170">
        <f t="shared" si="2"/>
        <v>356</v>
      </c>
    </row>
    <row r="171" spans="1:8" x14ac:dyDescent="0.25">
      <c r="A171" s="12">
        <v>45712</v>
      </c>
      <c r="B171" s="1">
        <v>2509</v>
      </c>
      <c r="C171" s="1">
        <v>796</v>
      </c>
      <c r="D171" s="13">
        <f t="shared" si="2"/>
        <v>1713</v>
      </c>
    </row>
    <row r="172" spans="1:8" x14ac:dyDescent="0.25">
      <c r="A172" s="7" t="s">
        <v>11</v>
      </c>
      <c r="B172" s="1">
        <v>645</v>
      </c>
      <c r="C172" s="1">
        <v>267</v>
      </c>
      <c r="D172">
        <f t="shared" si="2"/>
        <v>378</v>
      </c>
    </row>
    <row r="173" spans="1:8" x14ac:dyDescent="0.25">
      <c r="A173" s="7" t="s">
        <v>17</v>
      </c>
      <c r="B173" s="1">
        <v>886</v>
      </c>
      <c r="C173" s="1">
        <v>250</v>
      </c>
      <c r="D173">
        <f t="shared" si="2"/>
        <v>636</v>
      </c>
      <c r="E173" s="54" t="str" cm="1">
        <f t="array" ref="E173">_xlfn.IFS(AND(D172&gt;D173,D172&gt;D174),"Instagram has gained Highest Fallowers",AND(D173&gt;D172,D173&gt;D174),"Twitter has gained Highest Fallowers",AND(D174&gt;D173,D174&gt;D172),"Youtube has gained Highest Fallowers")</f>
        <v>Youtube has gained Highest Fallowers</v>
      </c>
      <c r="F173" s="54"/>
      <c r="G173" s="54"/>
      <c r="H173" s="54"/>
    </row>
    <row r="174" spans="1:8" x14ac:dyDescent="0.25">
      <c r="A174" s="7" t="s">
        <v>12</v>
      </c>
      <c r="B174" s="1">
        <v>978</v>
      </c>
      <c r="C174" s="1">
        <v>279</v>
      </c>
      <c r="D174">
        <f t="shared" si="2"/>
        <v>699</v>
      </c>
    </row>
    <row r="175" spans="1:8" x14ac:dyDescent="0.25">
      <c r="A175" s="12">
        <v>45719</v>
      </c>
      <c r="B175" s="1">
        <v>3343</v>
      </c>
      <c r="C175" s="1">
        <v>580</v>
      </c>
      <c r="D175" s="13">
        <f t="shared" si="2"/>
        <v>2763</v>
      </c>
    </row>
    <row r="176" spans="1:8" x14ac:dyDescent="0.25">
      <c r="A176" s="7" t="s">
        <v>11</v>
      </c>
      <c r="B176" s="1">
        <v>1444</v>
      </c>
      <c r="C176" s="1">
        <v>165</v>
      </c>
      <c r="D176">
        <f t="shared" si="2"/>
        <v>1279</v>
      </c>
    </row>
    <row r="177" spans="1:8" x14ac:dyDescent="0.25">
      <c r="A177" s="7" t="s">
        <v>17</v>
      </c>
      <c r="B177" s="1">
        <v>1234</v>
      </c>
      <c r="C177" s="1">
        <v>228</v>
      </c>
      <c r="D177">
        <f t="shared" si="2"/>
        <v>1006</v>
      </c>
      <c r="E177" s="54" t="str" cm="1">
        <f t="array" ref="E177">_xlfn.IFS(AND(D176&gt;D177,D176&gt;D178),"Instagram has gained Highest Fallowers",AND(D177&gt;D176,D177&gt;D178),"Twitter has gained Highest Fallowers",AND(D178&gt;D177,D178&gt;D176),"Youtube has gained Highest Fallowers")</f>
        <v>Instagram has gained Highest Fallowers</v>
      </c>
      <c r="F177" s="54"/>
      <c r="G177" s="54"/>
      <c r="H177" s="54"/>
    </row>
    <row r="178" spans="1:8" x14ac:dyDescent="0.25">
      <c r="A178" s="7" t="s">
        <v>12</v>
      </c>
      <c r="B178" s="1">
        <v>665</v>
      </c>
      <c r="C178" s="1">
        <v>187</v>
      </c>
      <c r="D178">
        <f t="shared" si="2"/>
        <v>478</v>
      </c>
    </row>
    <row r="179" spans="1:8" x14ac:dyDescent="0.25">
      <c r="A179" s="12">
        <v>45726</v>
      </c>
      <c r="B179" s="1">
        <v>2740</v>
      </c>
      <c r="C179" s="1">
        <v>425</v>
      </c>
      <c r="D179" s="13">
        <f t="shared" si="2"/>
        <v>2315</v>
      </c>
    </row>
    <row r="180" spans="1:8" x14ac:dyDescent="0.25">
      <c r="A180" s="7" t="s">
        <v>11</v>
      </c>
      <c r="B180" s="1">
        <v>631</v>
      </c>
      <c r="C180" s="1">
        <v>86</v>
      </c>
      <c r="D180">
        <f t="shared" si="2"/>
        <v>545</v>
      </c>
    </row>
    <row r="181" spans="1:8" x14ac:dyDescent="0.25">
      <c r="A181" s="7" t="s">
        <v>17</v>
      </c>
      <c r="B181" s="1">
        <v>1159</v>
      </c>
      <c r="C181" s="1">
        <v>154</v>
      </c>
      <c r="D181">
        <f t="shared" si="2"/>
        <v>1005</v>
      </c>
      <c r="E181" s="54" t="str" cm="1">
        <f t="array" ref="E181">_xlfn.IFS(AND(D180&gt;D181,D180&gt;D182),"Instagram has gained Highest Fallowers",AND(D181&gt;D180,D181&gt;D182),"Twitter has gained Highest Fallowers",AND(D182&gt;D181,D182&gt;D180),"Youtube has gained Highest Fallowers")</f>
        <v>Twitter has gained Highest Fallowers</v>
      </c>
      <c r="F181" s="54"/>
      <c r="G181" s="54"/>
      <c r="H181" s="54"/>
    </row>
    <row r="182" spans="1:8" x14ac:dyDescent="0.25">
      <c r="A182" s="7" t="s">
        <v>12</v>
      </c>
      <c r="B182" s="1">
        <v>950</v>
      </c>
      <c r="C182" s="1">
        <v>185</v>
      </c>
      <c r="D182">
        <f t="shared" si="2"/>
        <v>765</v>
      </c>
    </row>
    <row r="183" spans="1:8" x14ac:dyDescent="0.25">
      <c r="A183" s="12">
        <v>45733</v>
      </c>
      <c r="B183" s="1">
        <v>2543</v>
      </c>
      <c r="C183" s="1">
        <v>355</v>
      </c>
      <c r="D183" s="13">
        <f t="shared" si="2"/>
        <v>2188</v>
      </c>
    </row>
    <row r="184" spans="1:8" x14ac:dyDescent="0.25">
      <c r="A184" s="7" t="s">
        <v>11</v>
      </c>
      <c r="B184" s="1">
        <v>693</v>
      </c>
      <c r="C184" s="1">
        <v>129</v>
      </c>
      <c r="D184">
        <f t="shared" si="2"/>
        <v>564</v>
      </c>
    </row>
    <row r="185" spans="1:8" x14ac:dyDescent="0.25">
      <c r="A185" s="7" t="s">
        <v>17</v>
      </c>
      <c r="B185" s="1">
        <v>576</v>
      </c>
      <c r="C185" s="1">
        <v>80</v>
      </c>
      <c r="D185">
        <f t="shared" si="2"/>
        <v>496</v>
      </c>
      <c r="E185" s="54" t="str" cm="1">
        <f t="array" ref="E185">_xlfn.IFS(AND(D184&gt;D185,D184&gt;D186),"Instagram has gained Highest Fallowers",AND(D185&gt;D184,D185&gt;D186),"Twitter has gained Highest Fallowers",AND(D186&gt;D185,D186&gt;D184),"Youtube has gained Highest Fallowers")</f>
        <v>Youtube has gained Highest Fallowers</v>
      </c>
      <c r="F185" s="54"/>
      <c r="G185" s="54"/>
      <c r="H185" s="54"/>
    </row>
    <row r="186" spans="1:8" x14ac:dyDescent="0.25">
      <c r="A186" s="7" t="s">
        <v>12</v>
      </c>
      <c r="B186" s="1">
        <v>1274</v>
      </c>
      <c r="C186" s="1">
        <v>146</v>
      </c>
      <c r="D186">
        <f t="shared" si="2"/>
        <v>1128</v>
      </c>
    </row>
    <row r="187" spans="1:8" x14ac:dyDescent="0.25">
      <c r="A187" s="12">
        <v>45740</v>
      </c>
      <c r="B187" s="1">
        <v>3191</v>
      </c>
      <c r="C187" s="1">
        <v>512</v>
      </c>
      <c r="D187" s="13">
        <f t="shared" si="2"/>
        <v>2679</v>
      </c>
    </row>
    <row r="188" spans="1:8" x14ac:dyDescent="0.25">
      <c r="A188" s="7" t="s">
        <v>11</v>
      </c>
      <c r="B188" s="1">
        <v>818</v>
      </c>
      <c r="C188" s="1">
        <v>253</v>
      </c>
      <c r="D188">
        <f t="shared" si="2"/>
        <v>565</v>
      </c>
    </row>
    <row r="189" spans="1:8" x14ac:dyDescent="0.25">
      <c r="A189" s="7" t="s">
        <v>17</v>
      </c>
      <c r="B189" s="1">
        <v>975</v>
      </c>
      <c r="C189" s="1">
        <v>162</v>
      </c>
      <c r="D189">
        <f t="shared" si="2"/>
        <v>813</v>
      </c>
      <c r="E189" s="54" t="str" cm="1">
        <f t="array" ref="E189">_xlfn.IFS(AND(D188&gt;D189,D188&gt;D190),"Instagram has gained Highest Fallowers",AND(D189&gt;D188,D189&gt;D190),"Twitter has gained Highest Fallowers",AND(D190&gt;D189,D190&gt;D188),"Youtube has gained Highest Fallowers")</f>
        <v>Youtube has gained Highest Fallowers</v>
      </c>
      <c r="F189" s="54"/>
      <c r="G189" s="54"/>
      <c r="H189" s="54"/>
    </row>
    <row r="190" spans="1:8" x14ac:dyDescent="0.25">
      <c r="A190" s="7" t="s">
        <v>12</v>
      </c>
      <c r="B190" s="1">
        <v>1398</v>
      </c>
      <c r="C190" s="1">
        <v>97</v>
      </c>
      <c r="D190">
        <f t="shared" si="2"/>
        <v>1301</v>
      </c>
    </row>
    <row r="191" spans="1:8" x14ac:dyDescent="0.25">
      <c r="A191" s="12">
        <v>45747</v>
      </c>
      <c r="B191" s="1">
        <v>3248</v>
      </c>
      <c r="C191" s="1">
        <v>467</v>
      </c>
      <c r="D191" s="13">
        <f t="shared" si="2"/>
        <v>2781</v>
      </c>
    </row>
    <row r="192" spans="1:8" x14ac:dyDescent="0.25">
      <c r="A192" s="7" t="s">
        <v>11</v>
      </c>
      <c r="B192" s="1">
        <v>591</v>
      </c>
      <c r="C192" s="1">
        <v>155</v>
      </c>
      <c r="D192">
        <f t="shared" si="2"/>
        <v>436</v>
      </c>
    </row>
    <row r="193" spans="1:8" x14ac:dyDescent="0.25">
      <c r="A193" s="7" t="s">
        <v>17</v>
      </c>
      <c r="B193" s="1">
        <v>1232</v>
      </c>
      <c r="C193" s="1">
        <v>254</v>
      </c>
      <c r="D193">
        <f t="shared" si="2"/>
        <v>978</v>
      </c>
      <c r="E193" s="54" t="str" cm="1">
        <f t="array" ref="E193">_xlfn.IFS(AND(D192&gt;D193,D192&gt;D194),"Instagram has gained Highest Fallowers",AND(D193&gt;D192,D193&gt;D194),"Twitter has gained Highest Fallowers",AND(D194&gt;D193,D194&gt;D192),"Youtube has gained Highest Fallowers")</f>
        <v>Youtube has gained Highest Fallowers</v>
      </c>
      <c r="F193" s="54"/>
      <c r="G193" s="54"/>
      <c r="H193" s="54"/>
    </row>
    <row r="194" spans="1:8" x14ac:dyDescent="0.25">
      <c r="A194" s="7" t="s">
        <v>12</v>
      </c>
      <c r="B194" s="1">
        <v>1425</v>
      </c>
      <c r="C194" s="1">
        <v>58</v>
      </c>
      <c r="D194">
        <f t="shared" si="2"/>
        <v>1367</v>
      </c>
    </row>
    <row r="195" spans="1:8" x14ac:dyDescent="0.25">
      <c r="A195" s="12">
        <v>45754</v>
      </c>
      <c r="B195" s="1">
        <v>3710</v>
      </c>
      <c r="C195" s="1">
        <v>419</v>
      </c>
      <c r="D195" s="13">
        <f t="shared" si="2"/>
        <v>3291</v>
      </c>
    </row>
    <row r="196" spans="1:8" x14ac:dyDescent="0.25">
      <c r="A196" s="7" t="s">
        <v>11</v>
      </c>
      <c r="B196" s="1">
        <v>1417</v>
      </c>
      <c r="C196" s="1">
        <v>80</v>
      </c>
      <c r="D196">
        <f t="shared" si="2"/>
        <v>1337</v>
      </c>
    </row>
    <row r="197" spans="1:8" x14ac:dyDescent="0.25">
      <c r="A197" s="7" t="s">
        <v>17</v>
      </c>
      <c r="B197" s="1">
        <v>1222</v>
      </c>
      <c r="C197" s="1">
        <v>208</v>
      </c>
      <c r="D197">
        <f t="shared" si="2"/>
        <v>1014</v>
      </c>
      <c r="E197" s="54" t="str" cm="1">
        <f t="array" ref="E197">_xlfn.IFS(AND(D196&gt;D197,D196&gt;D198),"Instagram has gained Highest Fallowers",AND(D197&gt;D196,D197&gt;D198),"Twitter has gained Highest Fallowers",AND(D198&gt;D197,D198&gt;D196),"Youtube has gained Highest Fallowers")</f>
        <v>Instagram has gained Highest Fallowers</v>
      </c>
      <c r="F197" s="54"/>
      <c r="G197" s="54"/>
      <c r="H197" s="54"/>
    </row>
    <row r="198" spans="1:8" x14ac:dyDescent="0.25">
      <c r="A198" s="7" t="s">
        <v>12</v>
      </c>
      <c r="B198" s="1">
        <v>1071</v>
      </c>
      <c r="C198" s="1">
        <v>131</v>
      </c>
      <c r="D198">
        <f t="shared" si="2"/>
        <v>940</v>
      </c>
    </row>
    <row r="199" spans="1:8" x14ac:dyDescent="0.25">
      <c r="A199" s="12">
        <v>45761</v>
      </c>
      <c r="B199" s="1">
        <v>3716</v>
      </c>
      <c r="C199" s="1">
        <v>500</v>
      </c>
      <c r="D199" s="13">
        <f t="shared" si="2"/>
        <v>3216</v>
      </c>
    </row>
    <row r="200" spans="1:8" x14ac:dyDescent="0.25">
      <c r="A200" s="7" t="s">
        <v>11</v>
      </c>
      <c r="B200" s="1">
        <v>772</v>
      </c>
      <c r="C200" s="1">
        <v>82</v>
      </c>
      <c r="D200">
        <f t="shared" si="2"/>
        <v>690</v>
      </c>
    </row>
    <row r="201" spans="1:8" x14ac:dyDescent="0.25">
      <c r="A201" s="7" t="s">
        <v>17</v>
      </c>
      <c r="B201" s="1">
        <v>1472</v>
      </c>
      <c r="C201" s="1">
        <v>137</v>
      </c>
      <c r="D201">
        <f t="shared" si="2"/>
        <v>1335</v>
      </c>
      <c r="E201" s="54" t="str" cm="1">
        <f t="array" ref="E201">_xlfn.IFS(AND(D200&gt;D201,D200&gt;D202),"Instagram has gained Highest Fallowers",AND(D201&gt;D200,D201&gt;D202),"Twitter has gained Highest Fallowers",AND(D202&gt;D201,D202&gt;D200),"Youtube has gained Highest Fallowers")</f>
        <v>Twitter has gained Highest Fallowers</v>
      </c>
      <c r="F201" s="54"/>
      <c r="G201" s="54"/>
      <c r="H201" s="54"/>
    </row>
    <row r="202" spans="1:8" x14ac:dyDescent="0.25">
      <c r="A202" s="7" t="s">
        <v>12</v>
      </c>
      <c r="B202" s="1">
        <v>1472</v>
      </c>
      <c r="C202" s="1">
        <v>281</v>
      </c>
      <c r="D202">
        <f t="shared" si="2"/>
        <v>1191</v>
      </c>
    </row>
    <row r="203" spans="1:8" x14ac:dyDescent="0.25">
      <c r="A203" s="12">
        <v>45768</v>
      </c>
      <c r="B203" s="1">
        <v>2445</v>
      </c>
      <c r="C203" s="1">
        <v>717</v>
      </c>
      <c r="D203" s="13">
        <f t="shared" si="2"/>
        <v>1728</v>
      </c>
    </row>
    <row r="204" spans="1:8" x14ac:dyDescent="0.25">
      <c r="A204" s="7" t="s">
        <v>11</v>
      </c>
      <c r="B204" s="1">
        <v>585</v>
      </c>
      <c r="C204" s="1">
        <v>232</v>
      </c>
      <c r="D204">
        <f t="shared" si="2"/>
        <v>353</v>
      </c>
    </row>
    <row r="205" spans="1:8" x14ac:dyDescent="0.25">
      <c r="A205" s="7" t="s">
        <v>17</v>
      </c>
      <c r="B205" s="1">
        <v>747</v>
      </c>
      <c r="C205" s="1">
        <v>261</v>
      </c>
      <c r="D205">
        <f t="shared" si="2"/>
        <v>486</v>
      </c>
      <c r="E205" s="54" t="str" cm="1">
        <f t="array" ref="E205">_xlfn.IFS(AND(D204&gt;D205,D204&gt;D206),"Instagram has gained Highest Fallowers",AND(D205&gt;D204,D205&gt;D206),"Twitter has gained Highest Fallowers",AND(D206&gt;D205,D206&gt;D204),"Youtube has gained Highest Fallowers")</f>
        <v>Youtube has gained Highest Fallowers</v>
      </c>
      <c r="F205" s="54"/>
      <c r="G205" s="54"/>
      <c r="H205" s="54"/>
    </row>
    <row r="206" spans="1:8" x14ac:dyDescent="0.25">
      <c r="A206" s="7" t="s">
        <v>12</v>
      </c>
      <c r="B206" s="1">
        <v>1113</v>
      </c>
      <c r="C206" s="1">
        <v>224</v>
      </c>
      <c r="D206">
        <f t="shared" si="2"/>
        <v>889</v>
      </c>
    </row>
    <row r="207" spans="1:8" x14ac:dyDescent="0.25">
      <c r="A207" s="12">
        <v>45775</v>
      </c>
      <c r="B207" s="1">
        <v>2715</v>
      </c>
      <c r="C207" s="1">
        <v>337</v>
      </c>
      <c r="D207" s="13">
        <f t="shared" si="2"/>
        <v>2378</v>
      </c>
    </row>
    <row r="208" spans="1:8" x14ac:dyDescent="0.25">
      <c r="A208" s="7" t="s">
        <v>11</v>
      </c>
      <c r="B208" s="1">
        <v>1100</v>
      </c>
      <c r="C208" s="1">
        <v>117</v>
      </c>
      <c r="D208">
        <f t="shared" si="2"/>
        <v>983</v>
      </c>
    </row>
    <row r="209" spans="1:8" x14ac:dyDescent="0.25">
      <c r="A209" s="7" t="s">
        <v>17</v>
      </c>
      <c r="B209" s="1">
        <v>751</v>
      </c>
      <c r="C209" s="1">
        <v>170</v>
      </c>
      <c r="D209">
        <f t="shared" si="2"/>
        <v>581</v>
      </c>
      <c r="E209" s="54" t="str" cm="1">
        <f t="array" ref="E209">_xlfn.IFS(AND(D208&gt;D209,D208&gt;D210),"Instagram has gained Highest Fallowers",AND(D209&gt;D208,D209&gt;D210),"Twitter has gained Highest Fallowers",AND(D210&gt;D209,D210&gt;D208),"Youtube has gained Highest Fallowers")</f>
        <v>Instagram has gained Highest Fallowers</v>
      </c>
      <c r="F209" s="54"/>
      <c r="G209" s="54"/>
      <c r="H209" s="54"/>
    </row>
    <row r="210" spans="1:8" x14ac:dyDescent="0.25">
      <c r="A210" s="7" t="s">
        <v>12</v>
      </c>
      <c r="B210" s="1">
        <v>864</v>
      </c>
      <c r="C210" s="1">
        <v>50</v>
      </c>
      <c r="D210">
        <f t="shared" si="2"/>
        <v>814</v>
      </c>
    </row>
    <row r="211" spans="1:8" x14ac:dyDescent="0.25">
      <c r="A211" s="12">
        <v>45782</v>
      </c>
      <c r="B211" s="1">
        <v>2651</v>
      </c>
      <c r="C211" s="1">
        <v>597</v>
      </c>
      <c r="D211" s="13">
        <f t="shared" si="2"/>
        <v>2054</v>
      </c>
    </row>
    <row r="212" spans="1:8" x14ac:dyDescent="0.25">
      <c r="A212" s="7" t="s">
        <v>11</v>
      </c>
      <c r="B212" s="1">
        <v>1146</v>
      </c>
      <c r="C212" s="1">
        <v>227</v>
      </c>
      <c r="D212">
        <f t="shared" si="2"/>
        <v>919</v>
      </c>
    </row>
    <row r="213" spans="1:8" x14ac:dyDescent="0.25">
      <c r="A213" s="7" t="s">
        <v>17</v>
      </c>
      <c r="B213" s="1">
        <v>883</v>
      </c>
      <c r="C213" s="1">
        <v>207</v>
      </c>
      <c r="D213">
        <f t="shared" ref="D213:D276" si="3">B213-C213</f>
        <v>676</v>
      </c>
      <c r="E213" s="54" t="str" cm="1">
        <f t="array" ref="E213">_xlfn.IFS(AND(D212&gt;D213,D212&gt;D214),"Instagram has gained Highest Fallowers",AND(D213&gt;D212,D213&gt;D214),"Twitter has gained Highest Fallowers",AND(D214&gt;D213,D214&gt;D212),"Youtube has gained Highest Fallowers")</f>
        <v>Instagram has gained Highest Fallowers</v>
      </c>
      <c r="F213" s="54"/>
      <c r="G213" s="54"/>
      <c r="H213" s="54"/>
    </row>
    <row r="214" spans="1:8" x14ac:dyDescent="0.25">
      <c r="A214" s="7" t="s">
        <v>12</v>
      </c>
      <c r="B214" s="1">
        <v>622</v>
      </c>
      <c r="C214" s="1">
        <v>163</v>
      </c>
      <c r="D214">
        <f t="shared" si="3"/>
        <v>459</v>
      </c>
    </row>
    <row r="215" spans="1:8" x14ac:dyDescent="0.25">
      <c r="A215" s="12">
        <v>45789</v>
      </c>
      <c r="B215" s="1">
        <v>2005</v>
      </c>
      <c r="C215" s="1">
        <v>605</v>
      </c>
      <c r="D215" s="13">
        <f t="shared" si="3"/>
        <v>1400</v>
      </c>
    </row>
    <row r="216" spans="1:8" x14ac:dyDescent="0.25">
      <c r="A216" s="7" t="s">
        <v>11</v>
      </c>
      <c r="B216" s="1">
        <v>837</v>
      </c>
      <c r="C216" s="1">
        <v>261</v>
      </c>
      <c r="D216">
        <f t="shared" si="3"/>
        <v>576</v>
      </c>
    </row>
    <row r="217" spans="1:8" x14ac:dyDescent="0.25">
      <c r="A217" s="7" t="s">
        <v>17</v>
      </c>
      <c r="B217" s="1">
        <v>544</v>
      </c>
      <c r="C217" s="1">
        <v>97</v>
      </c>
      <c r="D217">
        <f t="shared" si="3"/>
        <v>447</v>
      </c>
      <c r="E217" s="54" t="str" cm="1">
        <f t="array" ref="E217">_xlfn.IFS(AND(D216&gt;D217,D216&gt;D218),"Instagram has gained Highest Fallowers",AND(D217&gt;D216,D217&gt;D218),"Twitter has gained Highest Fallowers",AND(D218&gt;D217,D218&gt;D216),"Youtube has gained Highest Fallowers")</f>
        <v>Instagram has gained Highest Fallowers</v>
      </c>
      <c r="F217" s="54"/>
      <c r="G217" s="54"/>
      <c r="H217" s="54"/>
    </row>
    <row r="218" spans="1:8" x14ac:dyDescent="0.25">
      <c r="A218" s="7" t="s">
        <v>12</v>
      </c>
      <c r="B218" s="1">
        <v>624</v>
      </c>
      <c r="C218" s="1">
        <v>247</v>
      </c>
      <c r="D218">
        <f t="shared" si="3"/>
        <v>377</v>
      </c>
    </row>
    <row r="219" spans="1:8" x14ac:dyDescent="0.25">
      <c r="A219" s="12">
        <v>45796</v>
      </c>
      <c r="B219" s="1">
        <v>3861</v>
      </c>
      <c r="C219" s="1">
        <v>292</v>
      </c>
      <c r="D219" s="13">
        <f t="shared" si="3"/>
        <v>3569</v>
      </c>
    </row>
    <row r="220" spans="1:8" x14ac:dyDescent="0.25">
      <c r="A220" s="7" t="s">
        <v>11</v>
      </c>
      <c r="B220" s="1">
        <v>1073</v>
      </c>
      <c r="C220" s="1">
        <v>141</v>
      </c>
      <c r="D220">
        <f t="shared" si="3"/>
        <v>932</v>
      </c>
    </row>
    <row r="221" spans="1:8" x14ac:dyDescent="0.25">
      <c r="A221" s="7" t="s">
        <v>17</v>
      </c>
      <c r="B221" s="1">
        <v>1430</v>
      </c>
      <c r="C221" s="1">
        <v>74</v>
      </c>
      <c r="D221">
        <f t="shared" si="3"/>
        <v>1356</v>
      </c>
      <c r="E221" s="54" t="str" cm="1">
        <f t="array" ref="E221">_xlfn.IFS(AND(D220&gt;D221,D220&gt;D222),"Instagram has gained Highest Fallowers",AND(D221&gt;D220,D221&gt;D222),"Twitter has gained Highest Fallowers",AND(D222&gt;D221,D222&gt;D220),"Youtube has gained Highest Fallowers")</f>
        <v>Twitter has gained Highest Fallowers</v>
      </c>
      <c r="F221" s="54"/>
      <c r="G221" s="54"/>
      <c r="H221" s="54"/>
    </row>
    <row r="222" spans="1:8" x14ac:dyDescent="0.25">
      <c r="A222" s="7" t="s">
        <v>12</v>
      </c>
      <c r="B222" s="1">
        <v>1358</v>
      </c>
      <c r="C222" s="1">
        <v>77</v>
      </c>
      <c r="D222">
        <f t="shared" si="3"/>
        <v>1281</v>
      </c>
    </row>
    <row r="223" spans="1:8" x14ac:dyDescent="0.25">
      <c r="A223" s="12">
        <v>45803</v>
      </c>
      <c r="B223" s="1">
        <v>3457</v>
      </c>
      <c r="C223" s="1">
        <v>548</v>
      </c>
      <c r="D223" s="13">
        <f t="shared" si="3"/>
        <v>2909</v>
      </c>
    </row>
    <row r="224" spans="1:8" x14ac:dyDescent="0.25">
      <c r="A224" s="7" t="s">
        <v>11</v>
      </c>
      <c r="B224" s="1">
        <v>1242</v>
      </c>
      <c r="C224" s="1">
        <v>201</v>
      </c>
      <c r="D224">
        <f t="shared" si="3"/>
        <v>1041</v>
      </c>
    </row>
    <row r="225" spans="1:8" x14ac:dyDescent="0.25">
      <c r="A225" s="7" t="s">
        <v>17</v>
      </c>
      <c r="B225" s="1">
        <v>1389</v>
      </c>
      <c r="C225" s="1">
        <v>205</v>
      </c>
      <c r="D225">
        <f t="shared" si="3"/>
        <v>1184</v>
      </c>
      <c r="E225" s="54" t="str" cm="1">
        <f t="array" ref="E225">_xlfn.IFS(AND(D224&gt;D225,D224&gt;D226),"Instagram has gained Highest Fallowers",AND(D225&gt;D224,D225&gt;D226),"Twitter has gained Highest Fallowers",AND(D226&gt;D225,D226&gt;D224),"Youtube has gained Highest Fallowers")</f>
        <v>Twitter has gained Highest Fallowers</v>
      </c>
      <c r="F225" s="54"/>
      <c r="G225" s="54"/>
      <c r="H225" s="54"/>
    </row>
    <row r="226" spans="1:8" x14ac:dyDescent="0.25">
      <c r="A226" s="7" t="s">
        <v>12</v>
      </c>
      <c r="B226" s="1">
        <v>826</v>
      </c>
      <c r="C226" s="1">
        <v>142</v>
      </c>
      <c r="D226">
        <f t="shared" si="3"/>
        <v>684</v>
      </c>
    </row>
    <row r="227" spans="1:8" x14ac:dyDescent="0.25">
      <c r="A227" s="12">
        <v>45810</v>
      </c>
      <c r="B227" s="1">
        <v>2674</v>
      </c>
      <c r="C227" s="1">
        <v>625</v>
      </c>
      <c r="D227" s="13">
        <f t="shared" si="3"/>
        <v>2049</v>
      </c>
    </row>
    <row r="228" spans="1:8" x14ac:dyDescent="0.25">
      <c r="A228" s="7" t="s">
        <v>11</v>
      </c>
      <c r="B228" s="1">
        <v>618</v>
      </c>
      <c r="C228" s="1">
        <v>264</v>
      </c>
      <c r="D228">
        <f t="shared" si="3"/>
        <v>354</v>
      </c>
    </row>
    <row r="229" spans="1:8" x14ac:dyDescent="0.25">
      <c r="A229" s="7" t="s">
        <v>17</v>
      </c>
      <c r="B229" s="1">
        <v>1419</v>
      </c>
      <c r="C229" s="1">
        <v>293</v>
      </c>
      <c r="D229">
        <f t="shared" si="3"/>
        <v>1126</v>
      </c>
      <c r="E229" s="54" t="str" cm="1">
        <f t="array" ref="E229">_xlfn.IFS(AND(D228&gt;D229,D228&gt;D230),"Instagram has gained Highest Fallowers",AND(D229&gt;D228,D229&gt;D230),"Twitter has gained Highest Fallowers",AND(D230&gt;D229,D230&gt;D228),"Youtube has gained Highest Fallowers")</f>
        <v>Twitter has gained Highest Fallowers</v>
      </c>
      <c r="F229" s="54"/>
      <c r="G229" s="54"/>
      <c r="H229" s="54"/>
    </row>
    <row r="230" spans="1:8" x14ac:dyDescent="0.25">
      <c r="A230" s="7" t="s">
        <v>12</v>
      </c>
      <c r="B230" s="1">
        <v>637</v>
      </c>
      <c r="C230" s="1">
        <v>68</v>
      </c>
      <c r="D230">
        <f t="shared" si="3"/>
        <v>569</v>
      </c>
    </row>
    <row r="231" spans="1:8" x14ac:dyDescent="0.25">
      <c r="A231" s="12">
        <v>45817</v>
      </c>
      <c r="B231" s="1">
        <v>2910</v>
      </c>
      <c r="C231" s="1">
        <v>667</v>
      </c>
      <c r="D231" s="13">
        <f t="shared" si="3"/>
        <v>2243</v>
      </c>
    </row>
    <row r="232" spans="1:8" x14ac:dyDescent="0.25">
      <c r="A232" s="7" t="s">
        <v>11</v>
      </c>
      <c r="B232" s="1">
        <v>917</v>
      </c>
      <c r="C232" s="1">
        <v>187</v>
      </c>
      <c r="D232">
        <f t="shared" si="3"/>
        <v>730</v>
      </c>
    </row>
    <row r="233" spans="1:8" x14ac:dyDescent="0.25">
      <c r="A233" s="7" t="s">
        <v>17</v>
      </c>
      <c r="B233" s="1">
        <v>810</v>
      </c>
      <c r="C233" s="1">
        <v>232</v>
      </c>
      <c r="D233">
        <f t="shared" si="3"/>
        <v>578</v>
      </c>
      <c r="E233" s="54" t="str" cm="1">
        <f t="array" ref="E233">_xlfn.IFS(AND(D232&gt;D233,D232&gt;D234),"Instagram has gained Highest Fallowers",AND(D233&gt;D232,D233&gt;D234),"Twitter has gained Highest Fallowers",AND(D234&gt;D233,D234&gt;D232),"Youtube has gained Highest Fallowers")</f>
        <v>Youtube has gained Highest Fallowers</v>
      </c>
      <c r="F233" s="54"/>
      <c r="G233" s="54"/>
      <c r="H233" s="54"/>
    </row>
    <row r="234" spans="1:8" x14ac:dyDescent="0.25">
      <c r="A234" s="7" t="s">
        <v>12</v>
      </c>
      <c r="B234" s="1">
        <v>1183</v>
      </c>
      <c r="C234" s="1">
        <v>248</v>
      </c>
      <c r="D234">
        <f t="shared" si="3"/>
        <v>935</v>
      </c>
    </row>
    <row r="235" spans="1:8" x14ac:dyDescent="0.25">
      <c r="A235" s="12">
        <v>45824</v>
      </c>
      <c r="B235" s="1">
        <v>2450</v>
      </c>
      <c r="C235" s="1">
        <v>433</v>
      </c>
      <c r="D235" s="13">
        <f t="shared" si="3"/>
        <v>2017</v>
      </c>
    </row>
    <row r="236" spans="1:8" x14ac:dyDescent="0.25">
      <c r="A236" s="7" t="s">
        <v>11</v>
      </c>
      <c r="B236" s="1">
        <v>765</v>
      </c>
      <c r="C236" s="1">
        <v>67</v>
      </c>
      <c r="D236">
        <f t="shared" si="3"/>
        <v>698</v>
      </c>
    </row>
    <row r="237" spans="1:8" x14ac:dyDescent="0.25">
      <c r="A237" s="7" t="s">
        <v>17</v>
      </c>
      <c r="B237" s="1">
        <v>540</v>
      </c>
      <c r="C237" s="1">
        <v>215</v>
      </c>
      <c r="D237">
        <f t="shared" si="3"/>
        <v>325</v>
      </c>
      <c r="E237" s="54" t="str" cm="1">
        <f t="array" ref="E237">_xlfn.IFS(AND(D236&gt;D237,D236&gt;D238),"Instagram has gained Highest Fallowers",AND(D237&gt;D236,D237&gt;D238),"Twitter has gained Highest Fallowers",AND(D238&gt;D237,D238&gt;D236),"Youtube has gained Highest Fallowers")</f>
        <v>Youtube has gained Highest Fallowers</v>
      </c>
      <c r="F237" s="54"/>
      <c r="G237" s="54"/>
      <c r="H237" s="54"/>
    </row>
    <row r="238" spans="1:8" x14ac:dyDescent="0.25">
      <c r="A238" s="7" t="s">
        <v>12</v>
      </c>
      <c r="B238" s="1">
        <v>1145</v>
      </c>
      <c r="C238" s="1">
        <v>151</v>
      </c>
      <c r="D238">
        <f t="shared" si="3"/>
        <v>994</v>
      </c>
    </row>
    <row r="239" spans="1:8" x14ac:dyDescent="0.25">
      <c r="A239" s="12">
        <v>45831</v>
      </c>
      <c r="B239" s="1">
        <v>1993</v>
      </c>
      <c r="C239" s="1">
        <v>609</v>
      </c>
      <c r="D239" s="13">
        <f t="shared" si="3"/>
        <v>1384</v>
      </c>
    </row>
    <row r="240" spans="1:8" x14ac:dyDescent="0.25">
      <c r="A240" s="7" t="s">
        <v>11</v>
      </c>
      <c r="B240" s="1">
        <v>564</v>
      </c>
      <c r="C240" s="1">
        <v>244</v>
      </c>
      <c r="D240">
        <f t="shared" si="3"/>
        <v>320</v>
      </c>
    </row>
    <row r="241" spans="1:8" x14ac:dyDescent="0.25">
      <c r="A241" s="7" t="s">
        <v>17</v>
      </c>
      <c r="B241" s="1">
        <v>668</v>
      </c>
      <c r="C241" s="1">
        <v>124</v>
      </c>
      <c r="D241">
        <f t="shared" si="3"/>
        <v>544</v>
      </c>
      <c r="E241" s="54" t="str" cm="1">
        <f t="array" ref="E241">_xlfn.IFS(AND(D240&gt;D241,D240&gt;D242),"Instagram has gained Highest Fallowers",AND(D241&gt;D240,D241&gt;D242),"Twitter has gained Highest Fallowers",AND(D242&gt;D241,D242&gt;D240),"Youtube has gained Highest Fallowers")</f>
        <v>Twitter has gained Highest Fallowers</v>
      </c>
      <c r="F241" s="54"/>
      <c r="G241" s="54"/>
      <c r="H241" s="54"/>
    </row>
    <row r="242" spans="1:8" x14ac:dyDescent="0.25">
      <c r="A242" s="7" t="s">
        <v>12</v>
      </c>
      <c r="B242" s="1">
        <v>761</v>
      </c>
      <c r="C242" s="1">
        <v>241</v>
      </c>
      <c r="D242">
        <f t="shared" si="3"/>
        <v>520</v>
      </c>
    </row>
    <row r="243" spans="1:8" x14ac:dyDescent="0.25">
      <c r="A243" s="12">
        <v>45838</v>
      </c>
      <c r="B243" s="1">
        <v>2635</v>
      </c>
      <c r="C243" s="1">
        <v>320</v>
      </c>
      <c r="D243" s="13">
        <f t="shared" si="3"/>
        <v>2315</v>
      </c>
    </row>
    <row r="244" spans="1:8" x14ac:dyDescent="0.25">
      <c r="A244" s="7" t="s">
        <v>11</v>
      </c>
      <c r="B244" s="1">
        <v>593</v>
      </c>
      <c r="C244" s="1">
        <v>108</v>
      </c>
      <c r="D244">
        <f t="shared" si="3"/>
        <v>485</v>
      </c>
    </row>
    <row r="245" spans="1:8" x14ac:dyDescent="0.25">
      <c r="A245" s="7" t="s">
        <v>17</v>
      </c>
      <c r="B245" s="1">
        <v>1349</v>
      </c>
      <c r="C245" s="1">
        <v>115</v>
      </c>
      <c r="D245">
        <f t="shared" si="3"/>
        <v>1234</v>
      </c>
      <c r="E245" s="54" t="str" cm="1">
        <f t="array" ref="E245">_xlfn.IFS(AND(D244&gt;D245,D244&gt;D246),"Instagram has gained Highest Fallowers",AND(D245&gt;D244,D245&gt;D246),"Twitter has gained Highest Fallowers",AND(D246&gt;D245,D246&gt;D244),"Youtube has gained Highest Fallowers")</f>
        <v>Twitter has gained Highest Fallowers</v>
      </c>
      <c r="F245" s="54"/>
      <c r="G245" s="54"/>
      <c r="H245" s="54"/>
    </row>
    <row r="246" spans="1:8" x14ac:dyDescent="0.25">
      <c r="A246" s="7" t="s">
        <v>12</v>
      </c>
      <c r="B246" s="1">
        <v>693</v>
      </c>
      <c r="C246" s="1">
        <v>97</v>
      </c>
      <c r="D246">
        <f t="shared" si="3"/>
        <v>596</v>
      </c>
    </row>
    <row r="247" spans="1:8" x14ac:dyDescent="0.25">
      <c r="A247" s="12">
        <v>45845</v>
      </c>
      <c r="B247" s="1">
        <v>3180</v>
      </c>
      <c r="C247" s="1">
        <v>511</v>
      </c>
      <c r="D247" s="13">
        <f t="shared" si="3"/>
        <v>2669</v>
      </c>
    </row>
    <row r="248" spans="1:8" x14ac:dyDescent="0.25">
      <c r="A248" s="7" t="s">
        <v>11</v>
      </c>
      <c r="B248" s="1">
        <v>974</v>
      </c>
      <c r="C248" s="1">
        <v>143</v>
      </c>
      <c r="D248">
        <f t="shared" si="3"/>
        <v>831</v>
      </c>
    </row>
    <row r="249" spans="1:8" x14ac:dyDescent="0.25">
      <c r="A249" s="7" t="s">
        <v>17</v>
      </c>
      <c r="B249" s="1">
        <v>1155</v>
      </c>
      <c r="C249" s="1">
        <v>122</v>
      </c>
      <c r="D249">
        <f t="shared" si="3"/>
        <v>1033</v>
      </c>
      <c r="E249" s="54" t="str" cm="1">
        <f t="array" ref="E249">_xlfn.IFS(AND(D248&gt;D249,D248&gt;D250),"Instagram has gained Highest Fallowers",AND(D249&gt;D248,D249&gt;D250),"Twitter has gained Highest Fallowers",AND(D250&gt;D249,D250&gt;D248),"Youtube has gained Highest Fallowers")</f>
        <v>Twitter has gained Highest Fallowers</v>
      </c>
      <c r="F249" s="54"/>
      <c r="G249" s="54"/>
      <c r="H249" s="54"/>
    </row>
    <row r="250" spans="1:8" x14ac:dyDescent="0.25">
      <c r="A250" s="7" t="s">
        <v>12</v>
      </c>
      <c r="B250" s="1">
        <v>1051</v>
      </c>
      <c r="C250" s="1">
        <v>246</v>
      </c>
      <c r="D250">
        <f t="shared" si="3"/>
        <v>805</v>
      </c>
    </row>
    <row r="251" spans="1:8" x14ac:dyDescent="0.25">
      <c r="A251" s="12">
        <v>45852</v>
      </c>
      <c r="B251" s="1">
        <v>3238</v>
      </c>
      <c r="C251" s="1">
        <v>584</v>
      </c>
      <c r="D251" s="13">
        <f t="shared" si="3"/>
        <v>2654</v>
      </c>
    </row>
    <row r="252" spans="1:8" x14ac:dyDescent="0.25">
      <c r="A252" s="7" t="s">
        <v>11</v>
      </c>
      <c r="B252" s="1">
        <v>1457</v>
      </c>
      <c r="C252" s="1">
        <v>183</v>
      </c>
      <c r="D252">
        <f t="shared" si="3"/>
        <v>1274</v>
      </c>
    </row>
    <row r="253" spans="1:8" x14ac:dyDescent="0.25">
      <c r="A253" s="7" t="s">
        <v>17</v>
      </c>
      <c r="B253" s="1">
        <v>670</v>
      </c>
      <c r="C253" s="1">
        <v>242</v>
      </c>
      <c r="D253">
        <f t="shared" si="3"/>
        <v>428</v>
      </c>
      <c r="E253" s="54" t="str" cm="1">
        <f t="array" ref="E253">_xlfn.IFS(AND(D252&gt;D253,D252&gt;D254),"Instagram has gained Highest Fallowers",AND(D253&gt;D252,D253&gt;D254),"Twitter has gained Highest Fallowers",AND(D254&gt;D253,D254&gt;D252),"Youtube has gained Highest Fallowers")</f>
        <v>Instagram has gained Highest Fallowers</v>
      </c>
      <c r="F253" s="54"/>
      <c r="G253" s="54"/>
      <c r="H253" s="54"/>
    </row>
    <row r="254" spans="1:8" x14ac:dyDescent="0.25">
      <c r="A254" s="7" t="s">
        <v>12</v>
      </c>
      <c r="B254" s="1">
        <v>1111</v>
      </c>
      <c r="C254" s="1">
        <v>159</v>
      </c>
      <c r="D254">
        <f t="shared" si="3"/>
        <v>952</v>
      </c>
    </row>
    <row r="255" spans="1:8" x14ac:dyDescent="0.25">
      <c r="A255" s="12">
        <v>45859</v>
      </c>
      <c r="B255" s="1">
        <v>3197</v>
      </c>
      <c r="C255" s="1">
        <v>503</v>
      </c>
      <c r="D255" s="13">
        <f t="shared" si="3"/>
        <v>2694</v>
      </c>
    </row>
    <row r="256" spans="1:8" x14ac:dyDescent="0.25">
      <c r="A256" s="7" t="s">
        <v>11</v>
      </c>
      <c r="B256" s="1">
        <v>1197</v>
      </c>
      <c r="C256" s="1">
        <v>246</v>
      </c>
      <c r="D256">
        <f t="shared" si="3"/>
        <v>951</v>
      </c>
    </row>
    <row r="257" spans="1:8" x14ac:dyDescent="0.25">
      <c r="A257" s="7" t="s">
        <v>17</v>
      </c>
      <c r="B257" s="1">
        <v>754</v>
      </c>
      <c r="C257" s="1">
        <v>150</v>
      </c>
      <c r="D257">
        <f t="shared" si="3"/>
        <v>604</v>
      </c>
      <c r="E257" s="54" t="str" cm="1">
        <f t="array" ref="E257">_xlfn.IFS(AND(D256&gt;D257,D256&gt;D258),"Instagram has gained Highest Fallowers",AND(D257&gt;D256,D257&gt;D258),"Twitter has gained Highest Fallowers",AND(D258&gt;D257,D258&gt;D256),"Youtube has gained Highest Fallowers")</f>
        <v>Youtube has gained Highest Fallowers</v>
      </c>
      <c r="F257" s="54"/>
      <c r="G257" s="54"/>
      <c r="H257" s="54"/>
    </row>
    <row r="258" spans="1:8" x14ac:dyDescent="0.25">
      <c r="A258" s="7" t="s">
        <v>12</v>
      </c>
      <c r="B258" s="1">
        <v>1246</v>
      </c>
      <c r="C258" s="1">
        <v>107</v>
      </c>
      <c r="D258">
        <f t="shared" si="3"/>
        <v>1139</v>
      </c>
    </row>
    <row r="259" spans="1:8" x14ac:dyDescent="0.25">
      <c r="A259" s="12">
        <v>45866</v>
      </c>
      <c r="B259" s="1">
        <v>3695</v>
      </c>
      <c r="C259" s="1">
        <v>459</v>
      </c>
      <c r="D259" s="13">
        <f t="shared" si="3"/>
        <v>3236</v>
      </c>
    </row>
    <row r="260" spans="1:8" x14ac:dyDescent="0.25">
      <c r="A260" s="7" t="s">
        <v>11</v>
      </c>
      <c r="B260" s="1">
        <v>780</v>
      </c>
      <c r="C260" s="1">
        <v>213</v>
      </c>
      <c r="D260">
        <f t="shared" si="3"/>
        <v>567</v>
      </c>
    </row>
    <row r="261" spans="1:8" x14ac:dyDescent="0.25">
      <c r="A261" s="7" t="s">
        <v>17</v>
      </c>
      <c r="B261" s="1">
        <v>1425</v>
      </c>
      <c r="C261" s="1">
        <v>143</v>
      </c>
      <c r="D261">
        <f t="shared" si="3"/>
        <v>1282</v>
      </c>
      <c r="E261" s="54" t="str" cm="1">
        <f t="array" ref="E261">_xlfn.IFS(AND(D260&gt;D261,D260&gt;D262),"Instagram has gained Highest Fallowers",AND(D261&gt;D260,D261&gt;D262),"Twitter has gained Highest Fallowers",AND(D262&gt;D261,D262&gt;D260),"Youtube has gained Highest Fallowers")</f>
        <v>Youtube has gained Highest Fallowers</v>
      </c>
      <c r="F261" s="54"/>
      <c r="G261" s="54"/>
      <c r="H261" s="54"/>
    </row>
    <row r="262" spans="1:8" x14ac:dyDescent="0.25">
      <c r="A262" s="7" t="s">
        <v>12</v>
      </c>
      <c r="B262" s="1">
        <v>1490</v>
      </c>
      <c r="C262" s="1">
        <v>103</v>
      </c>
      <c r="D262">
        <f t="shared" si="3"/>
        <v>1387</v>
      </c>
    </row>
    <row r="263" spans="1:8" x14ac:dyDescent="0.25">
      <c r="A263" s="12">
        <v>45873</v>
      </c>
      <c r="B263" s="1">
        <v>2205</v>
      </c>
      <c r="C263" s="1">
        <v>516</v>
      </c>
      <c r="D263" s="13">
        <f t="shared" si="3"/>
        <v>1689</v>
      </c>
    </row>
    <row r="264" spans="1:8" x14ac:dyDescent="0.25">
      <c r="A264" s="7" t="s">
        <v>11</v>
      </c>
      <c r="B264" s="1">
        <v>949</v>
      </c>
      <c r="C264" s="1">
        <v>282</v>
      </c>
      <c r="D264">
        <f t="shared" si="3"/>
        <v>667</v>
      </c>
    </row>
    <row r="265" spans="1:8" x14ac:dyDescent="0.25">
      <c r="A265" s="7" t="s">
        <v>17</v>
      </c>
      <c r="B265" s="1">
        <v>640</v>
      </c>
      <c r="C265" s="1">
        <v>141</v>
      </c>
      <c r="D265">
        <f t="shared" si="3"/>
        <v>499</v>
      </c>
      <c r="E265" s="54" t="str" cm="1">
        <f t="array" ref="E265">_xlfn.IFS(AND(D264&gt;D265,D264&gt;D266),"Instagram has gained Highest Fallowers",AND(D265&gt;D264,D265&gt;D266),"Twitter has gained Highest Fallowers",AND(D266&gt;D265,D266&gt;D264),"Youtube has gained Highest Fallowers")</f>
        <v>Instagram has gained Highest Fallowers</v>
      </c>
      <c r="F265" s="54"/>
      <c r="G265" s="54"/>
      <c r="H265" s="54"/>
    </row>
    <row r="266" spans="1:8" x14ac:dyDescent="0.25">
      <c r="A266" s="7" t="s">
        <v>12</v>
      </c>
      <c r="B266" s="1">
        <v>616</v>
      </c>
      <c r="C266" s="1">
        <v>93</v>
      </c>
      <c r="D266">
        <f t="shared" si="3"/>
        <v>523</v>
      </c>
    </row>
    <row r="267" spans="1:8" x14ac:dyDescent="0.25">
      <c r="A267" s="12">
        <v>45880</v>
      </c>
      <c r="B267" s="1">
        <v>3025</v>
      </c>
      <c r="C267" s="1">
        <v>678</v>
      </c>
      <c r="D267" s="13">
        <f t="shared" si="3"/>
        <v>2347</v>
      </c>
    </row>
    <row r="268" spans="1:8" x14ac:dyDescent="0.25">
      <c r="A268" s="7" t="s">
        <v>11</v>
      </c>
      <c r="B268" s="1">
        <v>1080</v>
      </c>
      <c r="C268" s="1">
        <v>184</v>
      </c>
      <c r="D268">
        <f t="shared" si="3"/>
        <v>896</v>
      </c>
    </row>
    <row r="269" spans="1:8" x14ac:dyDescent="0.25">
      <c r="A269" s="7" t="s">
        <v>17</v>
      </c>
      <c r="B269" s="1">
        <v>938</v>
      </c>
      <c r="C269" s="1">
        <v>236</v>
      </c>
      <c r="D269">
        <f t="shared" si="3"/>
        <v>702</v>
      </c>
      <c r="E269" s="54" t="str" cm="1">
        <f t="array" ref="E269">_xlfn.IFS(AND(D268&gt;D269,D268&gt;D270),"Instagram has gained Highest Fallowers",AND(D269&gt;D268,D269&gt;D270),"Twitter has gained Highest Fallowers",AND(D270&gt;D269,D270&gt;D268),"Youtube has gained Highest Fallowers")</f>
        <v>Instagram has gained Highest Fallowers</v>
      </c>
      <c r="F269" s="54"/>
      <c r="G269" s="54"/>
      <c r="H269" s="54"/>
    </row>
    <row r="270" spans="1:8" x14ac:dyDescent="0.25">
      <c r="A270" s="7" t="s">
        <v>12</v>
      </c>
      <c r="B270" s="1">
        <v>1007</v>
      </c>
      <c r="C270" s="1">
        <v>258</v>
      </c>
      <c r="D270">
        <f t="shared" si="3"/>
        <v>749</v>
      </c>
    </row>
    <row r="271" spans="1:8" x14ac:dyDescent="0.25">
      <c r="A271" s="12">
        <v>45887</v>
      </c>
      <c r="B271" s="1">
        <v>2222</v>
      </c>
      <c r="C271" s="1">
        <v>403</v>
      </c>
      <c r="D271" s="13">
        <f t="shared" si="3"/>
        <v>1819</v>
      </c>
    </row>
    <row r="272" spans="1:8" x14ac:dyDescent="0.25">
      <c r="A272" s="7" t="s">
        <v>11</v>
      </c>
      <c r="B272" s="1">
        <v>541</v>
      </c>
      <c r="C272" s="1">
        <v>208</v>
      </c>
      <c r="D272">
        <f t="shared" si="3"/>
        <v>333</v>
      </c>
    </row>
    <row r="273" spans="1:8" x14ac:dyDescent="0.25">
      <c r="A273" s="7" t="s">
        <v>17</v>
      </c>
      <c r="B273" s="1">
        <v>745</v>
      </c>
      <c r="C273" s="1">
        <v>98</v>
      </c>
      <c r="D273">
        <f t="shared" si="3"/>
        <v>647</v>
      </c>
      <c r="E273" s="54" t="str" cm="1">
        <f t="array" ref="E273">_xlfn.IFS(AND(D272&gt;D273,D272&gt;D274),"Instagram has gained Highest Fallowers",AND(D273&gt;D272,D273&gt;D274),"Twitter has gained Highest Fallowers",AND(D274&gt;D273,D274&gt;D272),"Youtube has gained Highest Fallowers")</f>
        <v>Youtube has gained Highest Fallowers</v>
      </c>
      <c r="F273" s="54"/>
      <c r="G273" s="54"/>
      <c r="H273" s="54"/>
    </row>
    <row r="274" spans="1:8" x14ac:dyDescent="0.25">
      <c r="A274" s="7" t="s">
        <v>12</v>
      </c>
      <c r="B274" s="1">
        <v>936</v>
      </c>
      <c r="C274" s="1">
        <v>97</v>
      </c>
      <c r="D274">
        <f t="shared" si="3"/>
        <v>839</v>
      </c>
    </row>
    <row r="275" spans="1:8" x14ac:dyDescent="0.25">
      <c r="A275" s="12">
        <v>45894</v>
      </c>
      <c r="B275" s="1">
        <v>3387</v>
      </c>
      <c r="C275" s="1">
        <v>741</v>
      </c>
      <c r="D275" s="13">
        <f t="shared" si="3"/>
        <v>2646</v>
      </c>
    </row>
    <row r="276" spans="1:8" x14ac:dyDescent="0.25">
      <c r="A276" s="7" t="s">
        <v>11</v>
      </c>
      <c r="B276" s="1">
        <v>1183</v>
      </c>
      <c r="C276" s="1">
        <v>223</v>
      </c>
      <c r="D276">
        <f t="shared" si="3"/>
        <v>960</v>
      </c>
    </row>
    <row r="277" spans="1:8" x14ac:dyDescent="0.25">
      <c r="A277" s="7" t="s">
        <v>17</v>
      </c>
      <c r="B277" s="1">
        <v>1413</v>
      </c>
      <c r="C277" s="1">
        <v>245</v>
      </c>
      <c r="D277">
        <f t="shared" ref="D277:D286" si="4">B277-C277</f>
        <v>1168</v>
      </c>
      <c r="E277" s="54" t="str" cm="1">
        <f t="array" ref="E277">_xlfn.IFS(AND(D276&gt;D277,D276&gt;D278),"Instagram has gained Highest Fallowers",AND(D277&gt;D276,D277&gt;D278),"Twitter has gained Highest Fallowers",AND(D278&gt;D277,D278&gt;D276),"Youtube has gained Highest Fallowers")</f>
        <v>Twitter has gained Highest Fallowers</v>
      </c>
      <c r="F277" s="54"/>
      <c r="G277" s="54"/>
      <c r="H277" s="54"/>
    </row>
    <row r="278" spans="1:8" x14ac:dyDescent="0.25">
      <c r="A278" s="7" t="s">
        <v>12</v>
      </c>
      <c r="B278" s="1">
        <v>791</v>
      </c>
      <c r="C278" s="1">
        <v>273</v>
      </c>
      <c r="D278">
        <f t="shared" si="4"/>
        <v>518</v>
      </c>
    </row>
    <row r="279" spans="1:8" x14ac:dyDescent="0.25">
      <c r="A279" s="12">
        <v>45901</v>
      </c>
      <c r="B279" s="1">
        <v>2127</v>
      </c>
      <c r="C279" s="1">
        <v>703</v>
      </c>
      <c r="D279" s="13">
        <f t="shared" si="4"/>
        <v>1424</v>
      </c>
    </row>
    <row r="280" spans="1:8" x14ac:dyDescent="0.25">
      <c r="A280" s="7" t="s">
        <v>11</v>
      </c>
      <c r="B280" s="1">
        <v>1052</v>
      </c>
      <c r="C280" s="1">
        <v>180</v>
      </c>
      <c r="D280">
        <f t="shared" si="4"/>
        <v>872</v>
      </c>
    </row>
    <row r="281" spans="1:8" x14ac:dyDescent="0.25">
      <c r="A281" s="7" t="s">
        <v>17</v>
      </c>
      <c r="B281" s="1">
        <v>572</v>
      </c>
      <c r="C281" s="1">
        <v>270</v>
      </c>
      <c r="D281">
        <f t="shared" si="4"/>
        <v>302</v>
      </c>
      <c r="E281" s="54" t="str" cm="1">
        <f t="array" ref="E281">_xlfn.IFS(AND(D280&gt;D281,D280&gt;D282),"Instagram has gained Highest Fallowers",AND(D281&gt;D280,D281&gt;D282),"Twitter has gained Highest Fallowers",AND(D282&gt;D281,D282&gt;D280),"Youtube has gained Highest Fallowers")</f>
        <v>Instagram has gained Highest Fallowers</v>
      </c>
      <c r="F281" s="54"/>
      <c r="G281" s="54"/>
      <c r="H281" s="54"/>
    </row>
    <row r="282" spans="1:8" x14ac:dyDescent="0.25">
      <c r="A282" s="7" t="s">
        <v>12</v>
      </c>
      <c r="B282" s="1">
        <v>503</v>
      </c>
      <c r="C282" s="1">
        <v>253</v>
      </c>
      <c r="D282">
        <f t="shared" si="4"/>
        <v>250</v>
      </c>
    </row>
    <row r="283" spans="1:8" x14ac:dyDescent="0.25">
      <c r="A283" s="12">
        <v>45908</v>
      </c>
      <c r="B283" s="1">
        <v>1877</v>
      </c>
      <c r="C283" s="1">
        <v>441</v>
      </c>
      <c r="D283" s="13">
        <f t="shared" si="4"/>
        <v>1436</v>
      </c>
    </row>
    <row r="284" spans="1:8" x14ac:dyDescent="0.25">
      <c r="A284" s="7" t="s">
        <v>11</v>
      </c>
      <c r="B284" s="1">
        <v>1017</v>
      </c>
      <c r="C284" s="1">
        <v>197</v>
      </c>
      <c r="D284">
        <f t="shared" si="4"/>
        <v>820</v>
      </c>
    </row>
    <row r="285" spans="1:8" x14ac:dyDescent="0.25">
      <c r="A285" s="7" t="s">
        <v>17</v>
      </c>
      <c r="B285" s="1">
        <v>860</v>
      </c>
      <c r="C285" s="1">
        <v>244</v>
      </c>
      <c r="D285">
        <f t="shared" si="4"/>
        <v>616</v>
      </c>
      <c r="E285" s="54" t="s">
        <v>389</v>
      </c>
      <c r="F285" s="54"/>
      <c r="G285" s="54"/>
      <c r="H285" s="54"/>
    </row>
    <row r="286" spans="1:8" x14ac:dyDescent="0.25">
      <c r="A286" s="12" t="s">
        <v>362</v>
      </c>
      <c r="B286" s="1">
        <v>196561</v>
      </c>
      <c r="C286" s="1">
        <v>34973</v>
      </c>
      <c r="D286" s="14">
        <f t="shared" si="4"/>
        <v>161588</v>
      </c>
    </row>
    <row r="288" spans="1:8" x14ac:dyDescent="0.25">
      <c r="A288" t="s">
        <v>393</v>
      </c>
      <c r="D288">
        <f>COUNTA(E21:H285)</f>
        <v>67</v>
      </c>
    </row>
    <row r="289" spans="1:8" x14ac:dyDescent="0.25">
      <c r="A289" s="52" t="s">
        <v>390</v>
      </c>
      <c r="B289" s="52"/>
      <c r="C289" s="52"/>
      <c r="D289" s="8">
        <f>COUNTIF($E$6:$H$270,"Instagram*")</f>
        <v>17</v>
      </c>
      <c r="E289" s="15"/>
      <c r="F289" s="15"/>
      <c r="G289" s="15"/>
      <c r="H289" s="15"/>
    </row>
    <row r="290" spans="1:8" x14ac:dyDescent="0.25">
      <c r="A290" s="52" t="s">
        <v>391</v>
      </c>
      <c r="B290" s="52"/>
      <c r="C290" s="52"/>
      <c r="D290" s="8">
        <f>COUNTIF($E$6:$H$270,"Twitter*")</f>
        <v>24</v>
      </c>
    </row>
    <row r="291" spans="1:8" x14ac:dyDescent="0.25">
      <c r="A291" s="52" t="s">
        <v>392</v>
      </c>
      <c r="B291" s="52"/>
      <c r="C291" s="52"/>
      <c r="D291" s="8">
        <f>COUNTIF($E$6:$H$270,"Youtube*")</f>
        <v>22</v>
      </c>
    </row>
    <row r="292" spans="1:8" x14ac:dyDescent="0.25">
      <c r="C292" t="s">
        <v>394</v>
      </c>
      <c r="D292">
        <f>SUM(D289:D291)</f>
        <v>63</v>
      </c>
    </row>
    <row r="295" spans="1:8" x14ac:dyDescent="0.25">
      <c r="A295" s="53" t="s">
        <v>398</v>
      </c>
      <c r="B295" s="53"/>
    </row>
    <row r="296" spans="1:8" x14ac:dyDescent="0.25">
      <c r="A296" s="55" t="s">
        <v>402</v>
      </c>
      <c r="B296" s="55"/>
      <c r="C296" s="55"/>
    </row>
    <row r="297" spans="1:8" x14ac:dyDescent="0.25">
      <c r="A297" s="55" t="s">
        <v>399</v>
      </c>
      <c r="B297" s="55"/>
      <c r="C297" s="55"/>
      <c r="D297" s="55"/>
    </row>
    <row r="298" spans="1:8" x14ac:dyDescent="0.25">
      <c r="A298" s="55" t="s">
        <v>400</v>
      </c>
      <c r="B298" s="55"/>
      <c r="C298" s="55"/>
      <c r="D298" s="55"/>
    </row>
    <row r="300" spans="1:8" x14ac:dyDescent="0.25">
      <c r="A300" s="53" t="s">
        <v>401</v>
      </c>
      <c r="B300" s="53"/>
    </row>
    <row r="301" spans="1:8" x14ac:dyDescent="0.25">
      <c r="A301" s="56" t="s">
        <v>403</v>
      </c>
      <c r="B301" s="56"/>
      <c r="C301" s="56"/>
      <c r="D301" s="56"/>
    </row>
  </sheetData>
  <mergeCells count="82">
    <mergeCell ref="A296:C296"/>
    <mergeCell ref="A297:D297"/>
    <mergeCell ref="A298:D298"/>
    <mergeCell ref="A300:B300"/>
    <mergeCell ref="A301:D301"/>
    <mergeCell ref="A1:B1"/>
    <mergeCell ref="E281:H281"/>
    <mergeCell ref="E285:H285"/>
    <mergeCell ref="A290:C290"/>
    <mergeCell ref="A291:C291"/>
    <mergeCell ref="A16:B16"/>
    <mergeCell ref="E233:H233"/>
    <mergeCell ref="E237:H237"/>
    <mergeCell ref="E241:H241"/>
    <mergeCell ref="E245:H245"/>
    <mergeCell ref="E249:H249"/>
    <mergeCell ref="E253:H253"/>
    <mergeCell ref="E209:H209"/>
    <mergeCell ref="E213:H213"/>
    <mergeCell ref="E217:H217"/>
    <mergeCell ref="E221:H221"/>
    <mergeCell ref="A295:B295"/>
    <mergeCell ref="E257:H257"/>
    <mergeCell ref="E261:H261"/>
    <mergeCell ref="E265:H265"/>
    <mergeCell ref="E269:H269"/>
    <mergeCell ref="E273:H273"/>
    <mergeCell ref="E277:H277"/>
    <mergeCell ref="A289:C289"/>
    <mergeCell ref="E225:H225"/>
    <mergeCell ref="E229:H229"/>
    <mergeCell ref="E185:H185"/>
    <mergeCell ref="E189:H189"/>
    <mergeCell ref="E193:H193"/>
    <mergeCell ref="E197:H197"/>
    <mergeCell ref="E201:H201"/>
    <mergeCell ref="E205:H205"/>
    <mergeCell ref="E181:H181"/>
    <mergeCell ref="E137:H137"/>
    <mergeCell ref="E141:H141"/>
    <mergeCell ref="E145:H145"/>
    <mergeCell ref="E149:H149"/>
    <mergeCell ref="E153:H153"/>
    <mergeCell ref="E157:H157"/>
    <mergeCell ref="E161:H161"/>
    <mergeCell ref="E165:H165"/>
    <mergeCell ref="E169:H169"/>
    <mergeCell ref="E173:H173"/>
    <mergeCell ref="E177:H177"/>
    <mergeCell ref="E133:H133"/>
    <mergeCell ref="E89:H89"/>
    <mergeCell ref="E93:H93"/>
    <mergeCell ref="E97:H97"/>
    <mergeCell ref="E101:H101"/>
    <mergeCell ref="E105:H105"/>
    <mergeCell ref="E109:H109"/>
    <mergeCell ref="E113:H113"/>
    <mergeCell ref="E117:H117"/>
    <mergeCell ref="E121:H121"/>
    <mergeCell ref="E125:H125"/>
    <mergeCell ref="E129:H129"/>
    <mergeCell ref="E65:H65"/>
    <mergeCell ref="E69:H69"/>
    <mergeCell ref="E73:H73"/>
    <mergeCell ref="E77:H77"/>
    <mergeCell ref="E81:H81"/>
    <mergeCell ref="E85:H85"/>
    <mergeCell ref="A4:F4"/>
    <mergeCell ref="A6:F6"/>
    <mergeCell ref="A17:G17"/>
    <mergeCell ref="E21:H21"/>
    <mergeCell ref="E25:H25"/>
    <mergeCell ref="E29:H29"/>
    <mergeCell ref="A14:H14"/>
    <mergeCell ref="E33:H33"/>
    <mergeCell ref="E37:H37"/>
    <mergeCell ref="E41:H41"/>
    <mergeCell ref="E45:H45"/>
    <mergeCell ref="E49:H49"/>
    <mergeCell ref="E53:H53"/>
    <mergeCell ref="E57:H57"/>
    <mergeCell ref="E61:H6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DD0F5-EDE3-4B31-BBF2-E8B89BD6D7A7}">
  <sheetPr codeName="Sheet12"/>
  <dimension ref="A1:D32"/>
  <sheetViews>
    <sheetView workbookViewId="0">
      <selection activeCell="B26" sqref="B26"/>
    </sheetView>
  </sheetViews>
  <sheetFormatPr defaultRowHeight="15" x14ac:dyDescent="0.25"/>
  <cols>
    <col min="1" max="1" width="26" bestFit="1" customWidth="1"/>
    <col min="2" max="2" width="20.7109375" customWidth="1"/>
    <col min="3" max="3" width="47" bestFit="1" customWidth="1"/>
    <col min="4" max="4" width="12.42578125" bestFit="1" customWidth="1"/>
    <col min="5" max="5" width="18" bestFit="1" customWidth="1"/>
    <col min="6" max="6" width="11.5703125" bestFit="1" customWidth="1"/>
  </cols>
  <sheetData>
    <row r="1" spans="1:4" x14ac:dyDescent="0.25">
      <c r="A1" s="53" t="s">
        <v>407</v>
      </c>
      <c r="B1" s="53"/>
      <c r="C1" s="53"/>
      <c r="D1" s="53"/>
    </row>
    <row r="2" spans="1:4" x14ac:dyDescent="0.25">
      <c r="A2" t="s">
        <v>408</v>
      </c>
    </row>
    <row r="4" spans="1:4" x14ac:dyDescent="0.25">
      <c r="A4" s="55" t="s">
        <v>414</v>
      </c>
      <c r="B4" s="55"/>
      <c r="C4" s="55"/>
    </row>
    <row r="5" spans="1:4" x14ac:dyDescent="0.25">
      <c r="A5" s="3" t="s">
        <v>412</v>
      </c>
    </row>
    <row r="6" spans="1:4" x14ac:dyDescent="0.25">
      <c r="A6" s="4" t="s">
        <v>26</v>
      </c>
    </row>
    <row r="7" spans="1:4" x14ac:dyDescent="0.25">
      <c r="A7" s="7" t="s">
        <v>14</v>
      </c>
    </row>
    <row r="8" spans="1:4" x14ac:dyDescent="0.25">
      <c r="A8" s="7" t="s">
        <v>22</v>
      </c>
    </row>
    <row r="9" spans="1:4" x14ac:dyDescent="0.25">
      <c r="A9" s="7" t="s">
        <v>13</v>
      </c>
    </row>
    <row r="10" spans="1:4" x14ac:dyDescent="0.25">
      <c r="A10" s="7" t="s">
        <v>57</v>
      </c>
    </row>
    <row r="11" spans="1:4" x14ac:dyDescent="0.25">
      <c r="A11" s="4" t="s">
        <v>14</v>
      </c>
    </row>
    <row r="12" spans="1:4" x14ac:dyDescent="0.25">
      <c r="A12" s="7" t="s">
        <v>18</v>
      </c>
    </row>
    <row r="13" spans="1:4" x14ac:dyDescent="0.25">
      <c r="A13" s="4" t="s">
        <v>18</v>
      </c>
    </row>
    <row r="14" spans="1:4" x14ac:dyDescent="0.25">
      <c r="A14" s="7" t="s">
        <v>57</v>
      </c>
    </row>
    <row r="15" spans="1:4" x14ac:dyDescent="0.25">
      <c r="A15" s="4" t="s">
        <v>22</v>
      </c>
    </row>
    <row r="16" spans="1:4" x14ac:dyDescent="0.25">
      <c r="A16" s="7" t="s">
        <v>18</v>
      </c>
    </row>
    <row r="17" spans="1:3" x14ac:dyDescent="0.25">
      <c r="A17" s="7" t="s">
        <v>57</v>
      </c>
    </row>
    <row r="19" spans="1:3" x14ac:dyDescent="0.25">
      <c r="A19" s="7" t="s">
        <v>416</v>
      </c>
    </row>
    <row r="20" spans="1:3" x14ac:dyDescent="0.25">
      <c r="A20" s="7" t="s">
        <v>410</v>
      </c>
    </row>
    <row r="21" spans="1:3" x14ac:dyDescent="0.25">
      <c r="A21" s="7" t="s">
        <v>409</v>
      </c>
    </row>
    <row r="23" spans="1:3" x14ac:dyDescent="0.25">
      <c r="A23" s="57" t="s">
        <v>418</v>
      </c>
      <c r="B23" s="57"/>
      <c r="C23" s="57"/>
    </row>
    <row r="24" spans="1:3" x14ac:dyDescent="0.25">
      <c r="A24" s="19" t="s">
        <v>413</v>
      </c>
      <c r="B24" s="20" t="s">
        <v>415</v>
      </c>
      <c r="C24" s="21" t="s">
        <v>417</v>
      </c>
    </row>
    <row r="25" spans="1:3" x14ac:dyDescent="0.25">
      <c r="A25" s="18" t="s">
        <v>26</v>
      </c>
      <c r="B25" t="s">
        <v>14</v>
      </c>
      <c r="C25" s="33">
        <f>AVERAGEIFS(Posts[Engagement Rate],Posts[Hashtags Used.1],"#DiscoverWeekly",Posts[Hashtags Used.2],"#MusicForEveryone")</f>
        <v>8.410410225987432</v>
      </c>
    </row>
    <row r="26" spans="1:3" x14ac:dyDescent="0.25">
      <c r="A26" s="18" t="s">
        <v>26</v>
      </c>
      <c r="B26" t="s">
        <v>22</v>
      </c>
      <c r="C26" s="33">
        <f>AVERAGEIFS(Posts[Engagement Rate],Posts[Hashtags Used.1],"#DiscoverWeekly",Posts[Hashtags Used.2],"#SoundtrackOfLife")</f>
        <v>9.0106881535033487</v>
      </c>
    </row>
    <row r="27" spans="1:3" x14ac:dyDescent="0.25">
      <c r="A27" s="18" t="s">
        <v>26</v>
      </c>
      <c r="B27" t="s">
        <v>13</v>
      </c>
      <c r="C27" s="33">
        <f>AVERAGEIFS(Posts[Engagement Rate],Posts[Hashtags Used.1],"#DiscoverWeekly",Posts[Hashtags Used.2],"#SpotifyWrapped")</f>
        <v>8.6403291293675721</v>
      </c>
    </row>
    <row r="28" spans="1:3" x14ac:dyDescent="0.25">
      <c r="A28" s="18" t="s">
        <v>26</v>
      </c>
      <c r="B28" t="s">
        <v>57</v>
      </c>
      <c r="C28" s="33">
        <f>AVERAGEIFS(Posts[Engagement Rate],Posts[Hashtags Used.1],"#DiscoverWeekly",Posts[Hashtags Used.2],"No HashTag")</f>
        <v>9.0257921312820315</v>
      </c>
    </row>
    <row r="29" spans="1:3" x14ac:dyDescent="0.25">
      <c r="A29" s="18" t="s">
        <v>14</v>
      </c>
      <c r="B29" t="s">
        <v>18</v>
      </c>
      <c r="C29" s="33">
        <f>AVERAGEIFS(Posts[Engagement Rate],Posts[Hashtags Used.1],"#MusicForEveryone",Posts[Hashtags Used.2],"#NowPlaying")</f>
        <v>9.4160897902485861</v>
      </c>
    </row>
    <row r="30" spans="1:3" x14ac:dyDescent="0.25">
      <c r="A30" s="18" t="s">
        <v>18</v>
      </c>
      <c r="B30" t="s">
        <v>57</v>
      </c>
      <c r="C30" s="33">
        <f>AVERAGEIFS(Posts[Engagement Rate],Posts[Hashtags Used.1],"#NowPlaying",Posts[Hashtags Used.2],"No HashTag")</f>
        <v>9.9415713745613274</v>
      </c>
    </row>
    <row r="31" spans="1:3" x14ac:dyDescent="0.25">
      <c r="A31" s="18" t="s">
        <v>22</v>
      </c>
      <c r="B31" t="s">
        <v>18</v>
      </c>
      <c r="C31" s="33">
        <f>AVERAGEIFS(Posts[Engagement Rate],Posts[Hashtags Used.1],"#SoundtrackOfLife",Posts[Hashtags Used.2],"#NowPlaying")</f>
        <v>10.039881758986871</v>
      </c>
    </row>
    <row r="32" spans="1:3" x14ac:dyDescent="0.25">
      <c r="A32" s="18" t="s">
        <v>22</v>
      </c>
      <c r="B32" t="s">
        <v>57</v>
      </c>
      <c r="C32" s="33">
        <f>AVERAGEIFS(Posts[Engagement Rate],Posts[Hashtags Used.1],"#SoundtrackOfLife",Posts[Hashtags Used.2],"No HashTag")</f>
        <v>8.7432152698750407</v>
      </c>
    </row>
  </sheetData>
  <mergeCells count="3">
    <mergeCell ref="A1:D1"/>
    <mergeCell ref="A23:C23"/>
    <mergeCell ref="A4:C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F632F-5B04-4F85-B448-A0D95CA9FB2F}">
  <sheetPr codeName="Sheet13"/>
  <dimension ref="A1:D32"/>
  <sheetViews>
    <sheetView topLeftCell="A13" workbookViewId="0">
      <selection activeCell="A19" sqref="A19"/>
    </sheetView>
  </sheetViews>
  <sheetFormatPr defaultRowHeight="15" x14ac:dyDescent="0.25"/>
  <cols>
    <col min="1" max="1" width="13.7109375" bestFit="1" customWidth="1"/>
    <col min="2" max="2" width="16.85546875" bestFit="1" customWidth="1"/>
    <col min="3" max="3" width="7.28515625" bestFit="1" customWidth="1"/>
    <col min="4" max="4" width="8.85546875" bestFit="1" customWidth="1"/>
    <col min="5" max="5" width="10.5703125" bestFit="1" customWidth="1"/>
    <col min="6" max="8" width="9.85546875" bestFit="1" customWidth="1"/>
    <col min="9" max="9" width="9.7109375" bestFit="1" customWidth="1"/>
  </cols>
  <sheetData>
    <row r="1" spans="1:4" x14ac:dyDescent="0.25">
      <c r="A1" s="53" t="s">
        <v>407</v>
      </c>
      <c r="B1" s="53"/>
      <c r="C1" s="53"/>
      <c r="D1" s="53"/>
    </row>
    <row r="2" spans="1:4" x14ac:dyDescent="0.25">
      <c r="A2" s="15" t="s">
        <v>411</v>
      </c>
      <c r="B2" s="15"/>
      <c r="C2" s="15"/>
    </row>
    <row r="3" spans="1:4" x14ac:dyDescent="0.25">
      <c r="A3" s="4"/>
      <c r="B3" s="4"/>
      <c r="C3" s="4"/>
    </row>
    <row r="4" spans="1:4" x14ac:dyDescent="0.25">
      <c r="A4" s="4" t="s">
        <v>419</v>
      </c>
      <c r="B4" s="4"/>
      <c r="C4" s="4"/>
    </row>
    <row r="5" spans="1:4" x14ac:dyDescent="0.25">
      <c r="A5" s="4" t="s">
        <v>420</v>
      </c>
      <c r="B5" s="4"/>
      <c r="C5" s="4"/>
    </row>
    <row r="6" spans="1:4" x14ac:dyDescent="0.25">
      <c r="A6" s="3" t="s">
        <v>361</v>
      </c>
    </row>
    <row r="7" spans="1:4" x14ac:dyDescent="0.25">
      <c r="A7" s="4" t="s">
        <v>48</v>
      </c>
    </row>
    <row r="8" spans="1:4" x14ac:dyDescent="0.25">
      <c r="A8" s="7" t="s">
        <v>12</v>
      </c>
    </row>
    <row r="9" spans="1:4" x14ac:dyDescent="0.25">
      <c r="A9" s="4" t="s">
        <v>51</v>
      </c>
    </row>
    <row r="10" spans="1:4" x14ac:dyDescent="0.25">
      <c r="A10" s="7" t="s">
        <v>11</v>
      </c>
    </row>
    <row r="11" spans="1:4" x14ac:dyDescent="0.25">
      <c r="A11" s="7" t="s">
        <v>17</v>
      </c>
    </row>
    <row r="12" spans="1:4" x14ac:dyDescent="0.25">
      <c r="A12" s="4" t="s">
        <v>54</v>
      </c>
    </row>
    <row r="13" spans="1:4" x14ac:dyDescent="0.25">
      <c r="A13" s="7" t="s">
        <v>11</v>
      </c>
    </row>
    <row r="14" spans="1:4" x14ac:dyDescent="0.25">
      <c r="A14" s="7" t="s">
        <v>17</v>
      </c>
    </row>
    <row r="15" spans="1:4" x14ac:dyDescent="0.25">
      <c r="A15" s="7" t="s">
        <v>12</v>
      </c>
    </row>
    <row r="17" spans="1:3" x14ac:dyDescent="0.25">
      <c r="A17" s="22" t="s">
        <v>421</v>
      </c>
    </row>
    <row r="18" spans="1:3" x14ac:dyDescent="0.25">
      <c r="A18" s="24" t="s">
        <v>37</v>
      </c>
      <c r="B18" s="20" t="s">
        <v>29</v>
      </c>
      <c r="C18" s="8" t="s">
        <v>423</v>
      </c>
    </row>
    <row r="19" spans="1:3" x14ac:dyDescent="0.25">
      <c r="A19" s="7" t="s">
        <v>48</v>
      </c>
      <c r="B19" t="s">
        <v>422</v>
      </c>
      <c r="C19" s="8">
        <f>AVERAGEIFS(Posts[Engagement Rate],Posts[Content Type],"Reel",Posts[Platform],"Youtube")</f>
        <v>9.0106881535033487</v>
      </c>
    </row>
    <row r="20" spans="1:3" x14ac:dyDescent="0.25">
      <c r="A20" s="7" t="s">
        <v>51</v>
      </c>
      <c r="B20" t="s">
        <v>11</v>
      </c>
      <c r="C20" s="8">
        <f>AVERAGEIFS(Posts[Engagement Rate],Posts[Content Type],"Story",Posts[Platform],"Instagram")</f>
        <v>9.5509123528654065</v>
      </c>
    </row>
    <row r="21" spans="1:3" x14ac:dyDescent="0.25">
      <c r="A21" s="7" t="s">
        <v>51</v>
      </c>
      <c r="B21" t="s">
        <v>17</v>
      </c>
      <c r="C21" s="8">
        <f>AVERAGEIFS(Posts[Engagement Rate],Posts[Content Type],"Story",Posts[Platform],"Twitter")</f>
        <v>9.6350204330797524</v>
      </c>
    </row>
    <row r="22" spans="1:3" x14ac:dyDescent="0.25">
      <c r="A22" s="7" t="s">
        <v>54</v>
      </c>
      <c r="B22" t="s">
        <v>11</v>
      </c>
      <c r="C22" s="8">
        <f>AVERAGEIFS(Posts[Engagement Rate],Posts[Content Type],"Text",Posts[Platform],"Instagram")</f>
        <v>8.9151970703401293</v>
      </c>
    </row>
    <row r="23" spans="1:3" x14ac:dyDescent="0.25">
      <c r="A23" s="7" t="s">
        <v>54</v>
      </c>
      <c r="B23" t="s">
        <v>17</v>
      </c>
      <c r="C23" s="8">
        <f>AVERAGEIFS(Posts[Engagement Rate],Posts[Content Type],"Text",Posts[Platform],"Twitter")</f>
        <v>9.5584491232904494</v>
      </c>
    </row>
    <row r="24" spans="1:3" x14ac:dyDescent="0.25">
      <c r="A24" s="7" t="s">
        <v>54</v>
      </c>
      <c r="B24" t="s">
        <v>422</v>
      </c>
      <c r="C24" s="8">
        <f>AVERAGEIFS(Posts[Engagement Rate],Posts[Content Type],"Text",Posts[Platform],"Youtube")</f>
        <v>8.6403291293675721</v>
      </c>
    </row>
    <row r="26" spans="1:3" x14ac:dyDescent="0.25">
      <c r="A26" s="22" t="s">
        <v>383</v>
      </c>
    </row>
    <row r="27" spans="1:3" x14ac:dyDescent="0.25">
      <c r="A27" s="7" t="s">
        <v>424</v>
      </c>
    </row>
    <row r="28" spans="1:3" x14ac:dyDescent="0.25">
      <c r="A28" s="7" t="s">
        <v>425</v>
      </c>
    </row>
    <row r="29" spans="1:3" x14ac:dyDescent="0.25">
      <c r="A29" s="7" t="s">
        <v>426</v>
      </c>
    </row>
    <row r="30" spans="1:3" x14ac:dyDescent="0.25">
      <c r="A30" s="7" t="s">
        <v>427</v>
      </c>
    </row>
    <row r="31" spans="1:3" x14ac:dyDescent="0.25">
      <c r="A31" s="52" t="s">
        <v>428</v>
      </c>
      <c r="B31" s="52"/>
      <c r="C31" s="52"/>
    </row>
    <row r="32" spans="1:3" x14ac:dyDescent="0.25">
      <c r="B32" t="s">
        <v>429</v>
      </c>
    </row>
  </sheetData>
  <mergeCells count="2">
    <mergeCell ref="A1:D1"/>
    <mergeCell ref="A31:C3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DDC48-F20C-4459-840C-8DC9E0197969}">
  <sheetPr codeName="Sheet14"/>
  <dimension ref="A1:G16"/>
  <sheetViews>
    <sheetView workbookViewId="0">
      <selection activeCell="G13" sqref="G13"/>
    </sheetView>
  </sheetViews>
  <sheetFormatPr defaultRowHeight="15" x14ac:dyDescent="0.25"/>
  <cols>
    <col min="1" max="1" width="17.85546875" customWidth="1"/>
    <col min="2" max="2" width="19.140625" bestFit="1" customWidth="1"/>
    <col min="3" max="3" width="12.7109375" customWidth="1"/>
    <col min="4" max="4" width="13.5703125" customWidth="1"/>
    <col min="5" max="5" width="22.42578125" bestFit="1" customWidth="1"/>
    <col min="6" max="6" width="15.7109375" bestFit="1" customWidth="1"/>
    <col min="7" max="7" width="16.5703125" bestFit="1" customWidth="1"/>
  </cols>
  <sheetData>
    <row r="1" spans="1:7" x14ac:dyDescent="0.25">
      <c r="A1" s="8" t="s">
        <v>430</v>
      </c>
    </row>
    <row r="2" spans="1:7" x14ac:dyDescent="0.25">
      <c r="A2" t="s">
        <v>491</v>
      </c>
    </row>
    <row r="4" spans="1:7" x14ac:dyDescent="0.25">
      <c r="A4" t="s">
        <v>492</v>
      </c>
    </row>
    <row r="5" spans="1:7" x14ac:dyDescent="0.25">
      <c r="A5" s="25" t="s">
        <v>0</v>
      </c>
      <c r="B5" s="26" t="s">
        <v>1</v>
      </c>
      <c r="C5" s="26" t="s">
        <v>2</v>
      </c>
    </row>
    <row r="6" spans="1:7" x14ac:dyDescent="0.25">
      <c r="A6" s="28" t="s">
        <v>9</v>
      </c>
      <c r="B6" s="29">
        <v>45458</v>
      </c>
      <c r="C6" s="29">
        <v>45488</v>
      </c>
    </row>
    <row r="7" spans="1:7" x14ac:dyDescent="0.25">
      <c r="A7" s="30" t="s">
        <v>15</v>
      </c>
      <c r="B7" s="31">
        <v>45627</v>
      </c>
      <c r="C7" s="31">
        <v>45657</v>
      </c>
    </row>
    <row r="8" spans="1:7" x14ac:dyDescent="0.25">
      <c r="A8" s="28" t="s">
        <v>19</v>
      </c>
      <c r="B8" s="29">
        <v>45667</v>
      </c>
      <c r="C8" s="29">
        <v>45698</v>
      </c>
    </row>
    <row r="9" spans="1:7" x14ac:dyDescent="0.25">
      <c r="A9" s="30" t="s">
        <v>23</v>
      </c>
      <c r="B9" s="31">
        <v>45717</v>
      </c>
      <c r="C9" s="31">
        <v>45747</v>
      </c>
    </row>
    <row r="11" spans="1:7" x14ac:dyDescent="0.25">
      <c r="A11" t="s">
        <v>499</v>
      </c>
    </row>
    <row r="12" spans="1:7" x14ac:dyDescent="0.25">
      <c r="A12" t="s">
        <v>453</v>
      </c>
      <c r="B12" t="s">
        <v>493</v>
      </c>
      <c r="C12" t="s">
        <v>494</v>
      </c>
      <c r="D12" t="s">
        <v>495</v>
      </c>
      <c r="E12" t="s">
        <v>496</v>
      </c>
      <c r="F12" t="s">
        <v>498</v>
      </c>
      <c r="G12" t="s">
        <v>497</v>
      </c>
    </row>
    <row r="13" spans="1:7" x14ac:dyDescent="0.25">
      <c r="A13" t="s">
        <v>9</v>
      </c>
      <c r="B13">
        <f>SUMIFS(Posts[Impressions],Posts[Date],"&gt;=15-06-2024",Posts[Date],"&lt;15-07-2024",Posts[Campaign_Name],"SummerBeats")</f>
        <v>88805</v>
      </c>
      <c r="C13" s="35">
        <f>SUMIFS(Posts[Likes],Posts[Date],"&gt;=15-06-2024",Posts[Date],"&lt;15-07-2024",Posts[Campaign_Name],"SummerBeats")</f>
        <v>6372</v>
      </c>
      <c r="D13" s="35">
        <f>SUMIFS(Posts[Clicks],Posts[Date],"&gt;=15-06-2024",Posts[Date],"&lt;15-07-2024",Posts[Campaign_Name],"SummerBeats")</f>
        <v>300</v>
      </c>
      <c r="E13" s="35">
        <f>AVERAGEIFS(Posts[Impressions],Posts[Date],"&gt;=15-06-2024",Posts[Date],"&lt;15-07-2024",Posts[Campaign_Name],"SummerBeats")</f>
        <v>44402.5</v>
      </c>
      <c r="F13" s="35">
        <f>AVERAGEIFS(Posts[Likes],Posts[Date],"&gt;=15-06-2024",Posts[Date],"&lt;15-07-2024",Posts[Campaign_Name],"SummerBeats")</f>
        <v>3186</v>
      </c>
      <c r="G13" s="35">
        <f>AVERAGEIFS(Posts[Clicks],Posts[Date],"&gt;=15-06-2024",Posts[Date],"&lt;15-07-2024",Posts[Campaign_Name],"SummerBeats")</f>
        <v>150</v>
      </c>
    </row>
    <row r="14" spans="1:7" x14ac:dyDescent="0.25">
      <c r="A14" t="s">
        <v>15</v>
      </c>
      <c r="B14" s="35">
        <f>SUMIFS(Posts[Impressions],Posts[Date],"&gt;=01-12-2024",Posts[Date],"&lt;31-12-2024",Posts[Campaign_Name],"Wrapped2024")</f>
        <v>103517</v>
      </c>
      <c r="C14" s="35">
        <f>SUMIFS(Posts[Likes],Posts[Date],"&gt;=01-12-2024",Posts[Date],"&lt;31-12-2024",Posts[Campaign_Name],"Wrapped2024")</f>
        <v>8375</v>
      </c>
      <c r="D14" s="35">
        <f>SUMIFS(Posts[Clicks],Posts[Date],"&gt;=01-12-2024",Posts[Date],"&lt;31-12-2024",Posts[Campaign_Name],"Wrapped2024")</f>
        <v>253</v>
      </c>
      <c r="E14" s="35">
        <f>AVERAGEIFS(Posts[Impressions],Posts[Date],"&gt;=01-12-2024",Posts[Date],"&lt;31-12-2024",Posts[Campaign_Name],"Wrapped2024")</f>
        <v>51758.5</v>
      </c>
      <c r="F14" s="35">
        <f>AVERAGEIFS(Posts[Likes],Posts[Date],"&gt;=01-12-2024",Posts[Date],"&lt;31-12-2024",Posts[Campaign_Name],"Wrapped2024")</f>
        <v>4187.5</v>
      </c>
      <c r="G14" s="35">
        <f>AVERAGEIFS(Posts[Clicks],Posts[Date],"&gt;=01-12-2024",Posts[Date],"&lt;31-12-2024",Posts[Campaign_Name],"Wrapped2024")</f>
        <v>126.5</v>
      </c>
    </row>
    <row r="15" spans="1:7" x14ac:dyDescent="0.25">
      <c r="A15" t="s">
        <v>19</v>
      </c>
      <c r="B15" s="35">
        <f>SUMIFS(Posts[Impressions],Posts[Date],"&gt;=10-01-2025",Posts[Date],"&lt;10-02-2025",Posts[Campaign_Name],"ChillVibes")</f>
        <v>378559</v>
      </c>
      <c r="C15" s="35">
        <f>SUMIFS(Posts[Likes],Posts[Date],"&gt;=10-01-2025",Posts[Date],"&lt;10-02-2025",Posts[Campaign_Name],"ChillVibes")</f>
        <v>34980</v>
      </c>
      <c r="D15" s="35">
        <f>SUMIFS(Posts[Clicks],Posts[Date],"&gt;=10-01-2025",Posts[Date],"&lt;10-02-2025",Posts[Campaign_Name],"ChillVibes")</f>
        <v>2232</v>
      </c>
      <c r="E15" s="35">
        <f>AVERAGEIFS(Posts[Impressions],Posts[Date],"&gt;=10-01-2025",Posts[Date],"&lt;10-02-2025",Posts[Campaign_Name],"ChillVibes")</f>
        <v>34414.454545454544</v>
      </c>
      <c r="F15" s="35">
        <f>AVERAGEIFS(Posts[Likes],Posts[Date],"&gt;=10-01-2025",Posts[Date],"&lt;10-02-2025",Posts[Campaign_Name],"ChillVibes")</f>
        <v>3180</v>
      </c>
      <c r="G15" s="33">
        <f>AVERAGEIFS(Posts[Clicks],Posts[Date],"&gt;=10-01-2025",Posts[Date],"&lt;10-02-2025",Posts[Campaign_Name],"ChillVibes")</f>
        <v>202.90909090909091</v>
      </c>
    </row>
    <row r="16" spans="1:7" x14ac:dyDescent="0.25">
      <c r="A16" t="s">
        <v>23</v>
      </c>
      <c r="B16" s="35">
        <f>SUMIFS(Posts[Impressions],Posts[Date],"&gt;=01-03-2025",Posts[Date],"&lt;31-03-2025",Posts[Campaign_Name],"IndieWave")</f>
        <v>262944</v>
      </c>
      <c r="C16" s="35">
        <f>SUMIFS(Posts[Likes],Posts[Date],"&gt;=01-03-2025",Posts[Date],"&lt;31-03-2025",Posts[Campaign_Name],"IndieWave")</f>
        <v>23692</v>
      </c>
      <c r="D16" s="35">
        <f>SUMIFS(Posts[Clicks],Posts[Date],"&gt;=01-03-2025",Posts[Date],"&lt;31-03-2025",Posts[Campaign_Name],"IndieWave")</f>
        <v>1370</v>
      </c>
      <c r="E16" s="35">
        <f>AVERAGEIFS(Posts[Impressions],Posts[Date],"&gt;=01-03-2025",Posts[Date],"&lt;31-03-2025",Posts[Campaign_Name],"IndieWave")</f>
        <v>43824</v>
      </c>
      <c r="F16" s="33">
        <f>AVERAGEIFS(Posts[Likes],Posts[Date],"&gt;=01-03-2025",Posts[Date],"&lt;31-03-2025",Posts[Campaign_Name],"IndieWave")</f>
        <v>3948.6666666666665</v>
      </c>
      <c r="G16" s="33">
        <f>AVERAGEIFS(Posts[Clicks],Posts[Date],"&gt;=01-03-2025",Posts[Date],"&lt;31-03-2025",Posts[Campaign_Name],"IndieWave")</f>
        <v>228.33333333333334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4B062-521E-4067-A4B2-7A9E4C8099C5}">
  <sheetPr codeName="Sheet16"/>
  <dimension ref="A1:J71"/>
  <sheetViews>
    <sheetView topLeftCell="A49" workbookViewId="0">
      <selection activeCell="A46" sqref="A46"/>
    </sheetView>
  </sheetViews>
  <sheetFormatPr defaultRowHeight="15" x14ac:dyDescent="0.25"/>
  <cols>
    <col min="1" max="1" width="15.5703125" customWidth="1"/>
    <col min="2" max="2" width="12.42578125" bestFit="1" customWidth="1"/>
    <col min="3" max="3" width="18" bestFit="1" customWidth="1"/>
    <col min="4" max="4" width="19.28515625" customWidth="1"/>
    <col min="5" max="5" width="19.140625" bestFit="1" customWidth="1"/>
    <col min="6" max="6" width="11.28515625" bestFit="1" customWidth="1"/>
    <col min="7" max="7" width="15.42578125" bestFit="1" customWidth="1"/>
    <col min="8" max="8" width="12.28515625" bestFit="1" customWidth="1"/>
    <col min="9" max="9" width="15.42578125" bestFit="1" customWidth="1"/>
    <col min="10" max="10" width="11.28515625" bestFit="1" customWidth="1"/>
  </cols>
  <sheetData>
    <row r="1" spans="1:3" x14ac:dyDescent="0.25">
      <c r="A1" s="8" t="s">
        <v>430</v>
      </c>
    </row>
    <row r="2" spans="1:3" x14ac:dyDescent="0.25">
      <c r="A2" t="s">
        <v>479</v>
      </c>
    </row>
    <row r="4" spans="1:3" x14ac:dyDescent="0.25">
      <c r="A4" t="s">
        <v>431</v>
      </c>
    </row>
    <row r="5" spans="1:3" x14ac:dyDescent="0.25">
      <c r="A5" t="s">
        <v>433</v>
      </c>
    </row>
    <row r="7" spans="1:3" x14ac:dyDescent="0.25">
      <c r="A7" t="s">
        <v>432</v>
      </c>
    </row>
    <row r="8" spans="1:3" x14ac:dyDescent="0.25">
      <c r="A8" t="s">
        <v>434</v>
      </c>
      <c r="C8" t="s">
        <v>444</v>
      </c>
    </row>
    <row r="9" spans="1:3" x14ac:dyDescent="0.25">
      <c r="A9" t="s">
        <v>440</v>
      </c>
      <c r="C9">
        <f>SUM(Posts[Likes])</f>
        <v>897175</v>
      </c>
    </row>
    <row r="10" spans="1:3" x14ac:dyDescent="0.25">
      <c r="A10" t="s">
        <v>443</v>
      </c>
      <c r="C10">
        <f>SUM(Posts[Comments])</f>
        <v>67066</v>
      </c>
    </row>
    <row r="11" spans="1:3" x14ac:dyDescent="0.25">
      <c r="A11" t="s">
        <v>442</v>
      </c>
      <c r="C11">
        <f>SUM(Posts[Shares])</f>
        <v>93401</v>
      </c>
    </row>
    <row r="12" spans="1:3" x14ac:dyDescent="0.25">
      <c r="A12" t="s">
        <v>441</v>
      </c>
      <c r="C12">
        <f>SUM(Posts[Impressions])</f>
        <v>12470432</v>
      </c>
    </row>
    <row r="14" spans="1:3" x14ac:dyDescent="0.25">
      <c r="A14" t="s">
        <v>445</v>
      </c>
      <c r="C14" s="27">
        <f>((C9+C10+C11)/C12)*100</f>
        <v>8.4811977644399175</v>
      </c>
    </row>
    <row r="16" spans="1:3" x14ac:dyDescent="0.25">
      <c r="A16" t="s">
        <v>448</v>
      </c>
    </row>
    <row r="17" spans="1:10" x14ac:dyDescent="0.25">
      <c r="A17" s="8" t="s">
        <v>446</v>
      </c>
    </row>
    <row r="18" spans="1:10" x14ac:dyDescent="0.25">
      <c r="A18" s="8" t="s">
        <v>447</v>
      </c>
    </row>
    <row r="19" spans="1:10" x14ac:dyDescent="0.25">
      <c r="A19" t="s">
        <v>449</v>
      </c>
    </row>
    <row r="21" spans="1:10" x14ac:dyDescent="0.25">
      <c r="A21" s="25" t="s">
        <v>0</v>
      </c>
      <c r="B21" s="26" t="s">
        <v>1</v>
      </c>
      <c r="C21" s="26" t="s">
        <v>2</v>
      </c>
    </row>
    <row r="22" spans="1:10" x14ac:dyDescent="0.25">
      <c r="A22" s="28" t="s">
        <v>9</v>
      </c>
      <c r="B22" s="29">
        <v>45458</v>
      </c>
      <c r="C22" s="29">
        <v>45488</v>
      </c>
    </row>
    <row r="23" spans="1:10" x14ac:dyDescent="0.25">
      <c r="A23" s="30" t="s">
        <v>15</v>
      </c>
      <c r="B23" s="31">
        <v>45627</v>
      </c>
      <c r="C23" s="31">
        <v>45657</v>
      </c>
    </row>
    <row r="24" spans="1:10" x14ac:dyDescent="0.25">
      <c r="A24" s="28" t="s">
        <v>19</v>
      </c>
      <c r="B24" s="29">
        <v>45667</v>
      </c>
      <c r="C24" s="29">
        <v>45698</v>
      </c>
    </row>
    <row r="25" spans="1:10" x14ac:dyDescent="0.25">
      <c r="A25" s="30" t="s">
        <v>23</v>
      </c>
      <c r="B25" s="31">
        <v>45717</v>
      </c>
      <c r="C25" s="31">
        <v>45747</v>
      </c>
    </row>
    <row r="26" spans="1:10" x14ac:dyDescent="0.25">
      <c r="B26" t="s">
        <v>451</v>
      </c>
    </row>
    <row r="27" spans="1:10" x14ac:dyDescent="0.25">
      <c r="A27" t="s">
        <v>452</v>
      </c>
    </row>
    <row r="28" spans="1:10" x14ac:dyDescent="0.25">
      <c r="A28" s="8" t="s">
        <v>453</v>
      </c>
    </row>
    <row r="29" spans="1:10" x14ac:dyDescent="0.25">
      <c r="A29" s="8" t="s">
        <v>454</v>
      </c>
    </row>
    <row r="30" spans="1:10" x14ac:dyDescent="0.25">
      <c r="B30" t="s">
        <v>455</v>
      </c>
    </row>
    <row r="31" spans="1:10" x14ac:dyDescent="0.25">
      <c r="C31" t="s">
        <v>363</v>
      </c>
      <c r="D31" t="s">
        <v>364</v>
      </c>
      <c r="E31" t="s">
        <v>365</v>
      </c>
      <c r="F31" t="s">
        <v>366</v>
      </c>
      <c r="H31" t="s">
        <v>377</v>
      </c>
      <c r="J31" t="s">
        <v>472</v>
      </c>
    </row>
    <row r="32" spans="1:10" x14ac:dyDescent="0.25">
      <c r="C32">
        <f>SUMIFS(Posts[Likes],Posts[Date],"&gt;=01-01-2024",Posts[Date],"&lt;15-06-2024")</f>
        <v>250066</v>
      </c>
      <c r="D32" s="35">
        <f>SUMIFS(Posts[Comments],Posts[Date],"&gt;=01-01-2024",Posts[Date],"&lt;15-06-2024")</f>
        <v>19915</v>
      </c>
      <c r="E32" s="35">
        <f>SUMIFS(Posts[Shares],Posts[Date],"&gt;=01-01-2024",Posts[Date],"&lt;15-06-2024")</f>
        <v>28264</v>
      </c>
      <c r="F32" s="35">
        <f>SUMIFS(Posts[Impressions],Posts[Date],"&gt;=01-01-2024",Posts[Date],"&lt;15-06-2024")</f>
        <v>3716406</v>
      </c>
      <c r="H32" s="27">
        <f>((C32+D32+E32)/F32)*100</f>
        <v>8.0250919840297321</v>
      </c>
    </row>
    <row r="33" spans="1:10" x14ac:dyDescent="0.25">
      <c r="B33" t="s">
        <v>456</v>
      </c>
    </row>
    <row r="34" spans="1:10" x14ac:dyDescent="0.25">
      <c r="C34" t="s">
        <v>363</v>
      </c>
      <c r="D34" t="s">
        <v>544</v>
      </c>
      <c r="E34" t="s">
        <v>365</v>
      </c>
      <c r="F34" t="s">
        <v>366</v>
      </c>
      <c r="H34" t="s">
        <v>377</v>
      </c>
      <c r="J34" t="s">
        <v>471</v>
      </c>
    </row>
    <row r="35" spans="1:10" x14ac:dyDescent="0.25">
      <c r="C35" s="35">
        <f>SUMIFS(Posts[Likes],Posts[Date],"&gt;=15-06-2024",Posts[Date],"&lt;15-07-2024",Posts[Campaign_Name],"SummerBeats")</f>
        <v>6372</v>
      </c>
      <c r="D35" s="35">
        <f>SUMIFS(Posts[Comments],Posts[Date],"&gt;=15-06-2024",Posts[Date],"&lt;15-07-2024",Posts[Campaign_Name],"SummerBeats")</f>
        <v>449</v>
      </c>
      <c r="E35" s="35">
        <f>SUMIFS(Posts[Shares],Posts[Date],"&gt;=15-06-2024",Posts[Date],"&lt;15-07-2024",Posts[Campaign_Name],"SummerBeats")</f>
        <v>517</v>
      </c>
      <c r="F35" s="35">
        <f>SUMIFS(Posts[Impressions],Posts[Date],"&gt;=15-06-2024",Posts[Date],"&lt;15-07-2024",Posts[Campaign_Name],"SummerBeats")</f>
        <v>88805</v>
      </c>
      <c r="H35" s="27">
        <f>((C35+D35+E35)/F35)*100</f>
        <v>8.2630482517876249</v>
      </c>
    </row>
    <row r="36" spans="1:10" x14ac:dyDescent="0.25">
      <c r="A36" s="8" t="s">
        <v>459</v>
      </c>
    </row>
    <row r="37" spans="1:10" x14ac:dyDescent="0.25">
      <c r="B37" t="s">
        <v>461</v>
      </c>
    </row>
    <row r="38" spans="1:10" x14ac:dyDescent="0.25">
      <c r="C38" t="s">
        <v>363</v>
      </c>
      <c r="D38" t="s">
        <v>544</v>
      </c>
      <c r="E38" t="s">
        <v>365</v>
      </c>
      <c r="F38" t="s">
        <v>366</v>
      </c>
      <c r="H38" t="s">
        <v>377</v>
      </c>
      <c r="J38" t="s">
        <v>457</v>
      </c>
    </row>
    <row r="39" spans="1:10" x14ac:dyDescent="0.25">
      <c r="C39" s="35">
        <f>SUMIFS(Posts[Likes],Posts[Date],"&gt;=01-01-2024",Posts[Date],"&lt;01-12-2024")</f>
        <v>528534</v>
      </c>
      <c r="D39" s="35">
        <f>SUMIFS(Posts[Comments],Posts[Date],"&gt;=01-01-2024",Posts[Date],"&lt;01-12-2024")</f>
        <v>39687</v>
      </c>
      <c r="E39" s="35">
        <f>SUMIFS(Posts[Shares],Posts[Date],"&gt;=01-01-2024",Posts[Date],"&lt;01-12-2024")</f>
        <v>57501</v>
      </c>
      <c r="F39" s="35">
        <f>SUMIFS(Posts[Impressions],Posts[Date],"&gt;=01-01-2024",Posts[Date],"&lt;01-12-2024")</f>
        <v>7617961</v>
      </c>
      <c r="H39" s="27">
        <f>((C39+D39+E39)/F39)*100</f>
        <v>8.2137726879935453</v>
      </c>
    </row>
    <row r="40" spans="1:10" x14ac:dyDescent="0.25">
      <c r="B40" t="s">
        <v>462</v>
      </c>
    </row>
    <row r="41" spans="1:10" x14ac:dyDescent="0.25">
      <c r="C41" t="s">
        <v>363</v>
      </c>
      <c r="D41" t="s">
        <v>544</v>
      </c>
      <c r="E41" t="s">
        <v>365</v>
      </c>
      <c r="F41" t="s">
        <v>366</v>
      </c>
      <c r="H41" t="s">
        <v>377</v>
      </c>
      <c r="J41" t="s">
        <v>458</v>
      </c>
    </row>
    <row r="42" spans="1:10" x14ac:dyDescent="0.25">
      <c r="C42" s="35">
        <f>SUMIFS(Posts[Likes],Posts[Date],"&gt;=01-12-2024",Posts[Date],"&lt;31-12-2024",Posts[Campaign_Name],"Wrapped2024")</f>
        <v>8375</v>
      </c>
      <c r="D42" s="35">
        <f>SUMIFS(Posts[Comments],Posts[Date],"&gt;=01-12-2024",Posts[Date],"&lt;31-12-2024",Posts[Campaign_Name],"Wrapped2024")</f>
        <v>452</v>
      </c>
      <c r="E42" s="35">
        <f>SUMIFS(Posts[Shares],Posts[Date],"&gt;=01-12-2024",Posts[Date],"&lt;31-12-2024",Posts[Campaign_Name],"Wrapped2024")</f>
        <v>719</v>
      </c>
      <c r="F42" s="35">
        <f>SUMIFS(Posts[Impressions],Posts[Date],"&gt;=01-12-2024",Posts[Date],"&lt;31-12-2024",Posts[Campaign_Name],"Wrapped2024")</f>
        <v>103517</v>
      </c>
      <c r="H42" s="27">
        <f>((C42+D42+E42)/F42)*100</f>
        <v>9.2216737347488831</v>
      </c>
    </row>
    <row r="43" spans="1:10" x14ac:dyDescent="0.25">
      <c r="A43" s="8" t="s">
        <v>545</v>
      </c>
    </row>
    <row r="44" spans="1:10" x14ac:dyDescent="0.25">
      <c r="B44" t="s">
        <v>463</v>
      </c>
    </row>
    <row r="45" spans="1:10" x14ac:dyDescent="0.25">
      <c r="C45" t="s">
        <v>363</v>
      </c>
      <c r="D45" t="s">
        <v>544</v>
      </c>
      <c r="E45" t="s">
        <v>365</v>
      </c>
      <c r="F45" t="s">
        <v>366</v>
      </c>
      <c r="H45" t="s">
        <v>377</v>
      </c>
      <c r="J45" t="s">
        <v>466</v>
      </c>
    </row>
    <row r="46" spans="1:10" x14ac:dyDescent="0.25">
      <c r="C46" s="35">
        <f>SUMIFS(Posts[Likes],Posts[Date],"&gt;=01-01-2024",Posts[Date],"&lt;10-01-2025")</f>
        <v>611098</v>
      </c>
      <c r="D46" s="35">
        <f>SUMIFS(Posts[Comments],Posts[Date],"&gt;=01-01-2024",Posts[Date],"&lt;10-01-2025")</f>
        <v>45256</v>
      </c>
      <c r="E46" s="35">
        <f>SUMIFS(Posts[Shares],Posts[Date],"&gt;=01-01-2024",Posts[Date],"&lt;10-01-2025")</f>
        <v>64860</v>
      </c>
      <c r="F46" s="35">
        <f>SUMIFS(Posts[Impressions],Posts[Date],"&gt;=01-01-2024",Posts[Date],"&lt;10-01-2025")</f>
        <v>8691457</v>
      </c>
      <c r="H46" s="27">
        <f>((C46+D46+E46)/F46)*100</f>
        <v>8.2979643113922101</v>
      </c>
    </row>
    <row r="47" spans="1:10" x14ac:dyDescent="0.25">
      <c r="B47" t="s">
        <v>464</v>
      </c>
    </row>
    <row r="48" spans="1:10" x14ac:dyDescent="0.25">
      <c r="C48" t="s">
        <v>363</v>
      </c>
      <c r="D48" t="s">
        <v>544</v>
      </c>
      <c r="E48" t="s">
        <v>365</v>
      </c>
      <c r="F48" t="s">
        <v>366</v>
      </c>
      <c r="H48" t="s">
        <v>377</v>
      </c>
      <c r="J48" t="s">
        <v>465</v>
      </c>
    </row>
    <row r="49" spans="1:10" x14ac:dyDescent="0.25">
      <c r="C49" s="35">
        <f>SUMIFS(Posts[Likes],Posts[Date],"&gt;=10-01-2025",Posts[Date],"&lt;10-02-2025",Posts[Campaign_Name],"ChillVibes")</f>
        <v>34980</v>
      </c>
      <c r="D49" s="35">
        <f>SUMIFS(Posts[Comments],Posts[Date],"&gt;=10-01-2025",Posts[Date],"&lt;10-02-2025",Posts[Campaign_Name],"ChillVibes")</f>
        <v>1712</v>
      </c>
      <c r="E49" s="35">
        <f>SUMIFS(Posts[Shares],Posts[Date],"&gt;=10-01-2025",Posts[Date],"&lt;10-02-2025",Posts[Campaign_Name],"ChillVibes")</f>
        <v>3681</v>
      </c>
      <c r="F49" s="35">
        <f>SUMIFS(Posts[Impressions],Posts[Date],"&gt;=10-01-2025",Posts[Date],"&lt;10-02-2025",Posts[Campaign_Name],"ChillVibes")</f>
        <v>378559</v>
      </c>
      <c r="H49" s="27">
        <f>((C49+D49+E49)/F49)*100</f>
        <v>10.664916168945924</v>
      </c>
    </row>
    <row r="50" spans="1:10" x14ac:dyDescent="0.25">
      <c r="A50" s="8" t="s">
        <v>460</v>
      </c>
    </row>
    <row r="51" spans="1:10" x14ac:dyDescent="0.25">
      <c r="B51" t="s">
        <v>467</v>
      </c>
    </row>
    <row r="52" spans="1:10" x14ac:dyDescent="0.25">
      <c r="C52" t="s">
        <v>363</v>
      </c>
      <c r="D52" t="s">
        <v>544</v>
      </c>
      <c r="E52" t="s">
        <v>365</v>
      </c>
      <c r="F52" t="s">
        <v>366</v>
      </c>
      <c r="H52" t="s">
        <v>377</v>
      </c>
      <c r="J52" t="s">
        <v>469</v>
      </c>
    </row>
    <row r="53" spans="1:10" x14ac:dyDescent="0.25">
      <c r="C53" s="35">
        <f>SUMIFS(Posts[Likes],Posts[Date],"&gt;=01-01-2024",Posts[Date],"&lt;01-03-2025")</f>
        <v>697736</v>
      </c>
      <c r="D53" s="35">
        <f>SUMIFS(Posts[Comments],Posts[Date],"&gt;=01-01-2024",Posts[Date],"&lt;01-03-2025")</f>
        <v>51626</v>
      </c>
      <c r="E53" s="35">
        <f>SUMIFS(Posts[Shares],Posts[Date],"&gt;=01-01-2024",Posts[Date],"&lt;01-03-2025")</f>
        <v>74388</v>
      </c>
      <c r="F53" s="35">
        <f>SUMIFS(Posts[Impressions],Posts[Date],"&gt;=01-01-2024",Posts[Date],"&lt;01-03-2025")</f>
        <v>9754776</v>
      </c>
      <c r="H53" s="27">
        <f>((C53+D53+E53)/F53)*100</f>
        <v>8.4445814029968496</v>
      </c>
    </row>
    <row r="54" spans="1:10" x14ac:dyDescent="0.25">
      <c r="B54" t="s">
        <v>468</v>
      </c>
    </row>
    <row r="55" spans="1:10" x14ac:dyDescent="0.25">
      <c r="C55" t="s">
        <v>363</v>
      </c>
      <c r="D55" t="s">
        <v>544</v>
      </c>
      <c r="E55" t="s">
        <v>365</v>
      </c>
      <c r="F55" t="s">
        <v>366</v>
      </c>
      <c r="H55" t="s">
        <v>377</v>
      </c>
      <c r="J55" t="s">
        <v>470</v>
      </c>
    </row>
    <row r="56" spans="1:10" x14ac:dyDescent="0.25">
      <c r="C56" s="35">
        <f>SUMIFS(Posts[Likes],Posts[Date],"&gt;=01-03-2025",Posts[Date],"&lt;31-03-2025",Posts[Campaign_Name],"IndieWave")</f>
        <v>23692</v>
      </c>
      <c r="D56" s="35">
        <f>SUMIFS(Posts[Comments],Posts[Date],"&gt;=01-03-2025",Posts[Date],"&lt;31-03-2025",Posts[Campaign_Name],"IndieWave")</f>
        <v>1433</v>
      </c>
      <c r="E56" s="35">
        <f>SUMIFS(Posts[Shares],Posts[Date],"&gt;=01-03-2025",Posts[Date],"&lt;31-03-2025",Posts[Campaign_Name],"IndieWave")</f>
        <v>1948</v>
      </c>
      <c r="F56" s="35">
        <f>SUMIFS(Posts[Impressions],Posts[Date],"&gt;=01-03-2025",Posts[Date],"&lt;31-03-2025",Posts[Campaign_Name],"IndieWave")</f>
        <v>262944</v>
      </c>
      <c r="H56" s="27">
        <f>((C56+D56+E56)/F56)*100</f>
        <v>10.296108677132773</v>
      </c>
    </row>
    <row r="59" spans="1:10" x14ac:dyDescent="0.25">
      <c r="A59" s="8" t="s">
        <v>480</v>
      </c>
    </row>
    <row r="60" spans="1:10" x14ac:dyDescent="0.25">
      <c r="A60" t="s">
        <v>481</v>
      </c>
    </row>
    <row r="61" spans="1:10" x14ac:dyDescent="0.25">
      <c r="B61" s="38" t="s">
        <v>482</v>
      </c>
      <c r="C61" s="38"/>
      <c r="D61" s="38"/>
      <c r="E61" s="39" t="s">
        <v>487</v>
      </c>
      <c r="F61" s="37">
        <f>8.03-8.48</f>
        <v>-0.45000000000000107</v>
      </c>
    </row>
    <row r="62" spans="1:10" x14ac:dyDescent="0.25">
      <c r="B62" s="38" t="s">
        <v>483</v>
      </c>
      <c r="C62" s="38"/>
      <c r="D62" s="38"/>
      <c r="E62" s="39" t="s">
        <v>500</v>
      </c>
      <c r="F62" s="37">
        <f>8.26-8.48</f>
        <v>-0.22000000000000064</v>
      </c>
    </row>
    <row r="63" spans="1:10" x14ac:dyDescent="0.25">
      <c r="A63" s="35" t="s">
        <v>484</v>
      </c>
      <c r="B63" s="35"/>
      <c r="C63" s="35"/>
      <c r="D63" s="35"/>
    </row>
    <row r="64" spans="1:10" x14ac:dyDescent="0.25">
      <c r="A64" s="35"/>
      <c r="B64" s="38" t="s">
        <v>482</v>
      </c>
      <c r="C64" s="38"/>
      <c r="D64" s="38"/>
      <c r="E64" s="38" t="s">
        <v>488</v>
      </c>
      <c r="F64" s="37">
        <f>8.21-8.48</f>
        <v>-0.26999999999999957</v>
      </c>
    </row>
    <row r="65" spans="1:6" x14ac:dyDescent="0.25">
      <c r="A65" s="35"/>
      <c r="B65" s="38" t="s">
        <v>483</v>
      </c>
      <c r="C65" s="38"/>
      <c r="D65" s="38"/>
      <c r="E65" s="38" t="s">
        <v>501</v>
      </c>
      <c r="F65" s="37">
        <f>9.22-8.48</f>
        <v>0.74000000000000021</v>
      </c>
    </row>
    <row r="66" spans="1:6" x14ac:dyDescent="0.25">
      <c r="A66" s="35" t="s">
        <v>485</v>
      </c>
      <c r="B66" s="35"/>
      <c r="C66" s="35"/>
      <c r="D66" s="35"/>
      <c r="E66" s="35"/>
      <c r="F66" s="35"/>
    </row>
    <row r="67" spans="1:6" x14ac:dyDescent="0.25">
      <c r="A67" s="35"/>
      <c r="B67" s="38" t="s">
        <v>482</v>
      </c>
      <c r="C67" s="38"/>
      <c r="D67" s="38"/>
      <c r="E67" s="38" t="s">
        <v>490</v>
      </c>
      <c r="F67" s="37">
        <f>8.3-8.48</f>
        <v>-0.17999999999999972</v>
      </c>
    </row>
    <row r="68" spans="1:6" x14ac:dyDescent="0.25">
      <c r="A68" s="35"/>
      <c r="B68" s="38" t="s">
        <v>483</v>
      </c>
      <c r="C68" s="38"/>
      <c r="D68" s="38"/>
      <c r="E68" s="38" t="s">
        <v>502</v>
      </c>
      <c r="F68" s="37">
        <f>10.66-8.48</f>
        <v>2.1799999999999997</v>
      </c>
    </row>
    <row r="69" spans="1:6" x14ac:dyDescent="0.25">
      <c r="A69" s="35" t="s">
        <v>486</v>
      </c>
      <c r="B69" s="35"/>
      <c r="C69" s="35"/>
      <c r="D69" s="35"/>
      <c r="E69" s="35"/>
      <c r="F69" s="35"/>
    </row>
    <row r="70" spans="1:6" x14ac:dyDescent="0.25">
      <c r="A70" s="35"/>
      <c r="B70" s="38" t="s">
        <v>482</v>
      </c>
      <c r="C70" s="38"/>
      <c r="D70" s="38"/>
      <c r="E70" s="38" t="s">
        <v>489</v>
      </c>
      <c r="F70" s="37">
        <f>8.44-8.48</f>
        <v>-4.0000000000000924E-2</v>
      </c>
    </row>
    <row r="71" spans="1:6" x14ac:dyDescent="0.25">
      <c r="A71" s="35"/>
      <c r="B71" s="38" t="s">
        <v>483</v>
      </c>
      <c r="C71" s="38"/>
      <c r="D71" s="38"/>
      <c r="E71" s="38" t="s">
        <v>503</v>
      </c>
      <c r="F71" s="37">
        <f>10.3-8.48</f>
        <v>1.8200000000000003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C15AE-A325-4065-B695-41A9BBD965E7}">
  <sheetPr codeName="Sheet11"/>
  <dimension ref="A1:U58"/>
  <sheetViews>
    <sheetView workbookViewId="0">
      <selection activeCell="B11" sqref="B11"/>
    </sheetView>
  </sheetViews>
  <sheetFormatPr defaultRowHeight="15" x14ac:dyDescent="0.25"/>
  <cols>
    <col min="1" max="1" width="18.28515625" customWidth="1"/>
    <col min="2" max="2" width="38.5703125" customWidth="1"/>
    <col min="3" max="3" width="11.7109375" bestFit="1" customWidth="1"/>
    <col min="4" max="4" width="15.28515625" customWidth="1"/>
    <col min="5" max="5" width="35.140625" bestFit="1" customWidth="1"/>
    <col min="7" max="7" width="9.28515625" customWidth="1"/>
    <col min="8" max="8" width="13.140625" customWidth="1"/>
    <col min="9" max="9" width="14.28515625" customWidth="1"/>
    <col min="12" max="13" width="18" customWidth="1"/>
    <col min="14" max="14" width="18.28515625" customWidth="1"/>
    <col min="15" max="15" width="16.7109375" customWidth="1"/>
    <col min="16" max="16" width="12.140625" customWidth="1"/>
    <col min="17" max="17" width="12" customWidth="1"/>
    <col min="18" max="18" width="18.85546875" customWidth="1"/>
    <col min="19" max="19" width="10.28515625" customWidth="1"/>
    <col min="20" max="20" width="17.85546875" customWidth="1"/>
    <col min="21" max="21" width="9.5703125" bestFit="1" customWidth="1"/>
  </cols>
  <sheetData>
    <row r="1" spans="1:21" x14ac:dyDescent="0.25">
      <c r="A1" s="8" t="s">
        <v>430</v>
      </c>
    </row>
    <row r="2" spans="1:21" x14ac:dyDescent="0.25">
      <c r="A2" t="s">
        <v>474</v>
      </c>
    </row>
    <row r="3" spans="1:21" x14ac:dyDescent="0.25">
      <c r="A3" t="s">
        <v>504</v>
      </c>
    </row>
    <row r="4" spans="1:21" x14ac:dyDescent="0.25">
      <c r="A4" s="25" t="s">
        <v>0</v>
      </c>
      <c r="B4" s="42" t="s">
        <v>1</v>
      </c>
      <c r="C4" s="26" t="s">
        <v>2</v>
      </c>
    </row>
    <row r="5" spans="1:21" x14ac:dyDescent="0.25">
      <c r="A5" s="28" t="s">
        <v>9</v>
      </c>
      <c r="B5" s="43">
        <v>45458</v>
      </c>
      <c r="C5" s="29">
        <v>45488</v>
      </c>
    </row>
    <row r="6" spans="1:21" x14ac:dyDescent="0.25">
      <c r="A6" s="30" t="s">
        <v>15</v>
      </c>
      <c r="B6" s="44">
        <v>45627</v>
      </c>
      <c r="C6" s="31">
        <v>45657</v>
      </c>
    </row>
    <row r="7" spans="1:21" x14ac:dyDescent="0.25">
      <c r="A7" s="28" t="s">
        <v>19</v>
      </c>
      <c r="B7" s="43">
        <v>45667</v>
      </c>
      <c r="C7" s="29">
        <v>45698</v>
      </c>
    </row>
    <row r="8" spans="1:21" x14ac:dyDescent="0.25">
      <c r="A8" s="30" t="s">
        <v>23</v>
      </c>
      <c r="B8" s="44">
        <v>45717</v>
      </c>
      <c r="C8" s="31">
        <v>45747</v>
      </c>
    </row>
    <row r="9" spans="1:21" x14ac:dyDescent="0.25">
      <c r="A9" s="35" t="s">
        <v>505</v>
      </c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</row>
    <row r="10" spans="1:21" x14ac:dyDescent="0.25">
      <c r="A10" s="41" t="s">
        <v>0</v>
      </c>
      <c r="B10" s="35" t="s">
        <v>506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</row>
    <row r="11" spans="1:21" x14ac:dyDescent="0.25">
      <c r="A11" s="41" t="s">
        <v>9</v>
      </c>
      <c r="B11" s="35">
        <f>AVERAGEIFS(Posts[ROI],Posts[Date],"&gt;=15-06-2024",Posts[Date],"&lt;15-07-2024",Posts[Campaign_Name],"SummerBeats")</f>
        <v>1.0060788298596663E-3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1" x14ac:dyDescent="0.25">
      <c r="A12" s="41" t="s">
        <v>15</v>
      </c>
      <c r="B12" s="35">
        <f>AVERAGEIFS(Posts[ROI],Posts[Date],"&gt;=01-12-2024",Posts[Date],"&lt;31-12-2024",Posts[Campaign_Name],"Wrapped2024")</f>
        <v>4.1342682532412626E-4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</row>
    <row r="13" spans="1:21" x14ac:dyDescent="0.25">
      <c r="A13" s="41" t="s">
        <v>19</v>
      </c>
      <c r="B13" s="35">
        <f>AVERAGEIFS(Posts[ROI],Posts[Date],"&gt;=10-01-2025",Posts[Date],"&lt;10-02-2025",Posts[Campaign_Name],"ChillVibes")</f>
        <v>5.2952548160078452E-4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1" x14ac:dyDescent="0.25">
      <c r="A14" s="45" t="s">
        <v>23</v>
      </c>
      <c r="B14" s="46">
        <f>AVERAGEIFS(Posts[ROI],Posts[Date],"&gt;=01-03-2025",Posts[Date],"&lt;31-03-2025",Posts[Campaign_Name],"IndieWave")</f>
        <v>1.0859874916807335E-3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</row>
    <row r="15" spans="1:2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</row>
    <row r="16" spans="1:21" x14ac:dyDescent="0.25">
      <c r="A16" s="35" t="s">
        <v>507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</row>
    <row r="17" spans="1:21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</row>
    <row r="18" spans="1:2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</row>
    <row r="20" spans="1:21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</row>
    <row r="21" spans="1:21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</row>
    <row r="23" spans="1:21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</row>
    <row r="24" spans="1:21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</row>
    <row r="25" spans="1:21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</row>
    <row r="26" spans="1:21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</row>
    <row r="27" spans="1:21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</row>
    <row r="29" spans="1:21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</row>
    <row r="31" spans="1:21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</row>
    <row r="32" spans="1:21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</row>
    <row r="33" spans="1:21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</row>
    <row r="34" spans="1:21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</row>
    <row r="36" spans="1:21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</row>
    <row r="37" spans="1:21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</row>
    <row r="38" spans="1:21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</row>
    <row r="39" spans="1:2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</row>
    <row r="40" spans="1:2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</row>
    <row r="41" spans="1:2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</row>
    <row r="42" spans="1:2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</row>
    <row r="43" spans="1:2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</row>
    <row r="45" spans="1:21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</row>
    <row r="47" spans="1:21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</row>
    <row r="48" spans="1:2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</row>
    <row r="49" spans="1:21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</row>
    <row r="50" spans="1:21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</row>
    <row r="52" spans="1:21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</row>
    <row r="53" spans="1:21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</row>
    <row r="54" spans="1:21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</row>
    <row r="55" spans="1:21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</row>
    <row r="56" spans="1:21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</row>
    <row r="57" spans="1:21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</row>
    <row r="58" spans="1:21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</row>
  </sheetData>
  <conditionalFormatting sqref="R11:R28">
    <cfRule type="top10" dxfId="5" priority="4" rank="10"/>
  </conditionalFormatting>
  <conditionalFormatting sqref="S11:S28">
    <cfRule type="cellIs" dxfId="4" priority="3" operator="between">
      <formula>1</formula>
      <formula>25</formula>
    </cfRule>
  </conditionalFormatting>
  <conditionalFormatting sqref="R35:R52">
    <cfRule type="top10" dxfId="3" priority="2" rank="10"/>
  </conditionalFormatting>
  <conditionalFormatting sqref="S35:S52">
    <cfRule type="cellIs" dxfId="2" priority="1" operator="between">
      <formula>1</formula>
      <formula>25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88264-0B70-4D86-995B-03E17F23AC1C}">
  <dimension ref="A1:H17"/>
  <sheetViews>
    <sheetView workbookViewId="0">
      <selection activeCell="B14" sqref="B14"/>
    </sheetView>
  </sheetViews>
  <sheetFormatPr defaultRowHeight="15" x14ac:dyDescent="0.25"/>
  <cols>
    <col min="1" max="1" width="18.42578125" customWidth="1"/>
    <col min="2" max="2" width="21.7109375" customWidth="1"/>
    <col min="3" max="3" width="13" customWidth="1"/>
  </cols>
  <sheetData>
    <row r="1" spans="1:8" x14ac:dyDescent="0.25">
      <c r="A1" s="8" t="s">
        <v>430</v>
      </c>
    </row>
    <row r="3" spans="1:8" x14ac:dyDescent="0.25">
      <c r="A3" t="s">
        <v>508</v>
      </c>
    </row>
    <row r="4" spans="1:8" x14ac:dyDescent="0.25">
      <c r="B4" t="s">
        <v>509</v>
      </c>
    </row>
    <row r="5" spans="1:8" x14ac:dyDescent="0.25">
      <c r="A5" s="25" t="s">
        <v>0</v>
      </c>
      <c r="B5" s="42" t="s">
        <v>1</v>
      </c>
      <c r="C5" s="26" t="s">
        <v>2</v>
      </c>
    </row>
    <row r="6" spans="1:8" x14ac:dyDescent="0.25">
      <c r="A6" s="28" t="s">
        <v>9</v>
      </c>
      <c r="B6" s="43">
        <v>45458</v>
      </c>
      <c r="C6" s="29">
        <v>45488</v>
      </c>
    </row>
    <row r="7" spans="1:8" x14ac:dyDescent="0.25">
      <c r="A7" s="30" t="s">
        <v>15</v>
      </c>
      <c r="B7" s="44">
        <v>45627</v>
      </c>
      <c r="C7" s="31">
        <v>45657</v>
      </c>
    </row>
    <row r="8" spans="1:8" x14ac:dyDescent="0.25">
      <c r="A8" s="28" t="s">
        <v>19</v>
      </c>
      <c r="B8" s="43">
        <v>45667</v>
      </c>
      <c r="C8" s="29">
        <v>45698</v>
      </c>
    </row>
    <row r="9" spans="1:8" x14ac:dyDescent="0.25">
      <c r="A9" s="30" t="s">
        <v>23</v>
      </c>
      <c r="B9" s="44">
        <v>45717</v>
      </c>
      <c r="C9" s="31">
        <v>45747</v>
      </c>
    </row>
    <row r="10" spans="1:8" x14ac:dyDescent="0.25">
      <c r="A10" s="35" t="s">
        <v>510</v>
      </c>
      <c r="B10" s="35"/>
      <c r="C10" s="35"/>
      <c r="D10" s="35"/>
      <c r="E10" s="35"/>
      <c r="F10" s="35"/>
      <c r="G10" s="35"/>
      <c r="H10" s="35"/>
    </row>
    <row r="11" spans="1:8" x14ac:dyDescent="0.25">
      <c r="A11" s="41" t="s">
        <v>0</v>
      </c>
      <c r="B11" s="35" t="s">
        <v>511</v>
      </c>
      <c r="C11" s="35"/>
      <c r="D11" s="35"/>
      <c r="E11" s="35"/>
      <c r="F11" s="35"/>
      <c r="G11" s="35"/>
      <c r="H11" s="35"/>
    </row>
    <row r="12" spans="1:8" x14ac:dyDescent="0.25">
      <c r="A12" s="41" t="s">
        <v>9</v>
      </c>
      <c r="B12" s="35">
        <f>SUMIFS(Posts[Follower Growth],Posts[Date],"&gt;=15-06-2024",Posts[Date],"&lt;15-07-2024",Posts[Campaign_Name],"SummerBeats")</f>
        <v>2352</v>
      </c>
      <c r="C12" s="35"/>
      <c r="D12" s="35"/>
      <c r="E12" s="35"/>
      <c r="F12" s="35"/>
      <c r="G12" s="35"/>
      <c r="H12" s="35"/>
    </row>
    <row r="13" spans="1:8" x14ac:dyDescent="0.25">
      <c r="A13" s="41" t="s">
        <v>15</v>
      </c>
      <c r="B13" s="35">
        <f>SUMIFS(Posts[Follower Growth],Posts[Date],"&gt;=01-12-2024",Posts[Date],"&lt;31-12-2024",Posts[Campaign_Name],"Wrapped2024")</f>
        <v>2668</v>
      </c>
      <c r="C13" s="35"/>
      <c r="D13" s="35"/>
      <c r="E13" s="35"/>
      <c r="F13" s="35"/>
      <c r="G13" s="35"/>
      <c r="H13" s="35"/>
    </row>
    <row r="14" spans="1:8" x14ac:dyDescent="0.25">
      <c r="A14" s="47" t="s">
        <v>19</v>
      </c>
      <c r="B14" s="48">
        <f>SUMIFS(Posts[Follower Growth],Posts[Date],"&gt;=10-01-2025",Posts[Date],"&lt;10-02-2025",Posts[Campaign_Name],"ChillVibes")</f>
        <v>10849</v>
      </c>
      <c r="C14" s="35"/>
      <c r="D14" s="35"/>
      <c r="E14" s="35"/>
      <c r="F14" s="35"/>
      <c r="G14" s="35"/>
      <c r="H14" s="35"/>
    </row>
    <row r="15" spans="1:8" x14ac:dyDescent="0.25">
      <c r="A15" s="35" t="s">
        <v>23</v>
      </c>
      <c r="B15" s="35">
        <f>SUMIFS(Posts[Follower Growth],Posts[Date],"&gt;=01-03-2025",Posts[Date],"&lt;31-03-2025",Posts[Campaign_Name],"IndieWave")</f>
        <v>6680</v>
      </c>
      <c r="C15" s="35"/>
      <c r="D15" s="35"/>
      <c r="E15" s="35"/>
      <c r="F15" s="35"/>
      <c r="G15" s="35"/>
      <c r="H15" s="35"/>
    </row>
    <row r="16" spans="1:8" x14ac:dyDescent="0.25">
      <c r="A16" s="35"/>
      <c r="B16" s="35"/>
      <c r="C16" s="35"/>
      <c r="D16" s="35"/>
      <c r="E16" s="35"/>
      <c r="F16" s="35"/>
      <c r="G16" s="35"/>
      <c r="H16" s="35"/>
    </row>
    <row r="17" spans="1:8" x14ac:dyDescent="0.25">
      <c r="A17" s="35" t="s">
        <v>512</v>
      </c>
      <c r="B17" s="35"/>
      <c r="C17" s="35"/>
      <c r="D17" s="35"/>
      <c r="E17" s="35"/>
      <c r="F17" s="35"/>
      <c r="G17" s="35"/>
      <c r="H17" s="35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3C33B-6811-4C58-B821-423C65514D15}">
  <dimension ref="A1:D82"/>
  <sheetViews>
    <sheetView workbookViewId="0">
      <selection activeCell="B1" sqref="B1:B1048576"/>
    </sheetView>
  </sheetViews>
  <sheetFormatPr defaultRowHeight="15" x14ac:dyDescent="0.25"/>
  <cols>
    <col min="1" max="1" width="18.7109375" customWidth="1"/>
    <col min="2" max="2" width="23" customWidth="1"/>
    <col min="3" max="3" width="16.85546875" bestFit="1" customWidth="1"/>
    <col min="4" max="4" width="14.7109375" customWidth="1"/>
  </cols>
  <sheetData>
    <row r="1" spans="1:4" x14ac:dyDescent="0.25">
      <c r="A1" t="s">
        <v>514</v>
      </c>
    </row>
    <row r="2" spans="1:4" s="35" customFormat="1" x14ac:dyDescent="0.25"/>
    <row r="3" spans="1:4" s="35" customFormat="1" x14ac:dyDescent="0.25">
      <c r="A3" s="35" t="s">
        <v>515</v>
      </c>
    </row>
    <row r="4" spans="1:4" x14ac:dyDescent="0.25">
      <c r="B4" t="s">
        <v>516</v>
      </c>
    </row>
    <row r="5" spans="1:4" x14ac:dyDescent="0.25">
      <c r="A5" s="3" t="s">
        <v>522</v>
      </c>
      <c r="B5" s="35" t="s">
        <v>386</v>
      </c>
      <c r="C5" s="35" t="s">
        <v>387</v>
      </c>
      <c r="D5" s="5" t="s">
        <v>513</v>
      </c>
    </row>
    <row r="6" spans="1:4" x14ac:dyDescent="0.25">
      <c r="A6" s="12">
        <v>45446</v>
      </c>
      <c r="B6" s="1">
        <v>3869</v>
      </c>
      <c r="C6" s="1">
        <v>450</v>
      </c>
      <c r="D6">
        <f>B6-C6</f>
        <v>3419</v>
      </c>
    </row>
    <row r="7" spans="1:4" x14ac:dyDescent="0.25">
      <c r="A7" s="12">
        <v>45453</v>
      </c>
      <c r="B7" s="1">
        <v>3024</v>
      </c>
      <c r="C7" s="1">
        <v>247</v>
      </c>
      <c r="D7" s="35">
        <f t="shared" ref="D7:D70" si="0">B7-C7</f>
        <v>2777</v>
      </c>
    </row>
    <row r="8" spans="1:4" x14ac:dyDescent="0.25">
      <c r="A8" s="12">
        <v>45460</v>
      </c>
      <c r="B8" s="1">
        <v>3767</v>
      </c>
      <c r="C8" s="1">
        <v>592</v>
      </c>
      <c r="D8" s="35">
        <f t="shared" si="0"/>
        <v>3175</v>
      </c>
    </row>
    <row r="9" spans="1:4" x14ac:dyDescent="0.25">
      <c r="A9" s="12">
        <v>45467</v>
      </c>
      <c r="B9" s="1">
        <v>3024</v>
      </c>
      <c r="C9" s="1">
        <v>591</v>
      </c>
      <c r="D9" s="35">
        <f t="shared" si="0"/>
        <v>2433</v>
      </c>
    </row>
    <row r="10" spans="1:4" x14ac:dyDescent="0.25">
      <c r="A10" s="12">
        <v>45474</v>
      </c>
      <c r="B10" s="1">
        <v>2849</v>
      </c>
      <c r="C10" s="1">
        <v>423</v>
      </c>
      <c r="D10" s="35">
        <f t="shared" si="0"/>
        <v>2426</v>
      </c>
    </row>
    <row r="11" spans="1:4" x14ac:dyDescent="0.25">
      <c r="A11" s="12">
        <v>45481</v>
      </c>
      <c r="B11" s="1">
        <v>3521</v>
      </c>
      <c r="C11" s="1">
        <v>366</v>
      </c>
      <c r="D11" s="35">
        <f t="shared" si="0"/>
        <v>3155</v>
      </c>
    </row>
    <row r="12" spans="1:4" x14ac:dyDescent="0.25">
      <c r="A12" s="12">
        <v>45488</v>
      </c>
      <c r="B12" s="1">
        <v>2905</v>
      </c>
      <c r="C12" s="1">
        <v>536</v>
      </c>
      <c r="D12" s="35">
        <f t="shared" si="0"/>
        <v>2369</v>
      </c>
    </row>
    <row r="13" spans="1:4" x14ac:dyDescent="0.25">
      <c r="A13" s="12">
        <v>45495</v>
      </c>
      <c r="B13" s="1">
        <v>2654</v>
      </c>
      <c r="C13" s="1">
        <v>373</v>
      </c>
      <c r="D13" s="35">
        <f t="shared" si="0"/>
        <v>2281</v>
      </c>
    </row>
    <row r="14" spans="1:4" x14ac:dyDescent="0.25">
      <c r="A14" s="12">
        <v>45502</v>
      </c>
      <c r="B14" s="1">
        <v>2567</v>
      </c>
      <c r="C14" s="1">
        <v>435</v>
      </c>
      <c r="D14" s="35">
        <f t="shared" si="0"/>
        <v>2132</v>
      </c>
    </row>
    <row r="15" spans="1:4" x14ac:dyDescent="0.25">
      <c r="A15" s="12">
        <v>45509</v>
      </c>
      <c r="B15" s="1">
        <v>3138</v>
      </c>
      <c r="C15" s="1">
        <v>445</v>
      </c>
      <c r="D15" s="35">
        <f t="shared" si="0"/>
        <v>2693</v>
      </c>
    </row>
    <row r="16" spans="1:4" x14ac:dyDescent="0.25">
      <c r="A16" s="12">
        <v>45516</v>
      </c>
      <c r="B16" s="1">
        <v>3625</v>
      </c>
      <c r="C16" s="1">
        <v>553</v>
      </c>
      <c r="D16" s="35">
        <f t="shared" si="0"/>
        <v>3072</v>
      </c>
    </row>
    <row r="17" spans="1:4" x14ac:dyDescent="0.25">
      <c r="A17" s="12">
        <v>45523</v>
      </c>
      <c r="B17" s="1">
        <v>2813</v>
      </c>
      <c r="C17" s="1">
        <v>513</v>
      </c>
      <c r="D17" s="35">
        <f t="shared" si="0"/>
        <v>2300</v>
      </c>
    </row>
    <row r="18" spans="1:4" x14ac:dyDescent="0.25">
      <c r="A18" s="12">
        <v>45530</v>
      </c>
      <c r="B18" s="1">
        <v>3147</v>
      </c>
      <c r="C18" s="1">
        <v>697</v>
      </c>
      <c r="D18" s="35">
        <f t="shared" si="0"/>
        <v>2450</v>
      </c>
    </row>
    <row r="19" spans="1:4" x14ac:dyDescent="0.25">
      <c r="A19" s="12">
        <v>45537</v>
      </c>
      <c r="B19" s="1">
        <v>2915</v>
      </c>
      <c r="C19" s="1">
        <v>413</v>
      </c>
      <c r="D19" s="35">
        <f t="shared" si="0"/>
        <v>2502</v>
      </c>
    </row>
    <row r="20" spans="1:4" x14ac:dyDescent="0.25">
      <c r="A20" s="12">
        <v>45544</v>
      </c>
      <c r="B20" s="1">
        <v>3196</v>
      </c>
      <c r="C20" s="1">
        <v>566</v>
      </c>
      <c r="D20" s="35">
        <f t="shared" si="0"/>
        <v>2630</v>
      </c>
    </row>
    <row r="21" spans="1:4" x14ac:dyDescent="0.25">
      <c r="A21" s="12">
        <v>45551</v>
      </c>
      <c r="B21" s="1">
        <v>2739</v>
      </c>
      <c r="C21" s="1">
        <v>577</v>
      </c>
      <c r="D21" s="35">
        <f t="shared" si="0"/>
        <v>2162</v>
      </c>
    </row>
    <row r="22" spans="1:4" x14ac:dyDescent="0.25">
      <c r="A22" s="12">
        <v>45558</v>
      </c>
      <c r="B22" s="1">
        <v>3496</v>
      </c>
      <c r="C22" s="1">
        <v>711</v>
      </c>
      <c r="D22" s="35">
        <f t="shared" si="0"/>
        <v>2785</v>
      </c>
    </row>
    <row r="23" spans="1:4" x14ac:dyDescent="0.25">
      <c r="A23" s="12">
        <v>45565</v>
      </c>
      <c r="B23" s="1">
        <v>3835</v>
      </c>
      <c r="C23" s="1">
        <v>684</v>
      </c>
      <c r="D23" s="35">
        <f t="shared" si="0"/>
        <v>3151</v>
      </c>
    </row>
    <row r="24" spans="1:4" x14ac:dyDescent="0.25">
      <c r="A24" s="12">
        <v>45572</v>
      </c>
      <c r="B24" s="1">
        <v>2770</v>
      </c>
      <c r="C24" s="1">
        <v>432</v>
      </c>
      <c r="D24" s="35">
        <f t="shared" si="0"/>
        <v>2338</v>
      </c>
    </row>
    <row r="25" spans="1:4" x14ac:dyDescent="0.25">
      <c r="A25" s="12">
        <v>45579</v>
      </c>
      <c r="B25" s="1">
        <v>3206</v>
      </c>
      <c r="C25" s="1">
        <v>536</v>
      </c>
      <c r="D25" s="35">
        <f t="shared" si="0"/>
        <v>2670</v>
      </c>
    </row>
    <row r="26" spans="1:4" x14ac:dyDescent="0.25">
      <c r="A26" s="12">
        <v>45586</v>
      </c>
      <c r="B26" s="1">
        <v>3313</v>
      </c>
      <c r="C26" s="1">
        <v>521</v>
      </c>
      <c r="D26" s="35">
        <f t="shared" si="0"/>
        <v>2792</v>
      </c>
    </row>
    <row r="27" spans="1:4" x14ac:dyDescent="0.25">
      <c r="A27" s="12">
        <v>45593</v>
      </c>
      <c r="B27" s="1">
        <v>2940</v>
      </c>
      <c r="C27" s="1">
        <v>759</v>
      </c>
      <c r="D27" s="35">
        <f t="shared" si="0"/>
        <v>2181</v>
      </c>
    </row>
    <row r="28" spans="1:4" ht="15.75" thickBot="1" x14ac:dyDescent="0.3">
      <c r="A28" s="50">
        <v>45600</v>
      </c>
      <c r="B28" s="51">
        <v>4108</v>
      </c>
      <c r="C28" s="51">
        <v>532</v>
      </c>
      <c r="D28" s="35">
        <f t="shared" si="0"/>
        <v>3576</v>
      </c>
    </row>
    <row r="29" spans="1:4" ht="15.75" thickTop="1" x14ac:dyDescent="0.25">
      <c r="A29" s="12">
        <v>45607</v>
      </c>
      <c r="B29" s="1">
        <v>3194</v>
      </c>
      <c r="C29" s="1">
        <v>400</v>
      </c>
      <c r="D29" s="35">
        <f t="shared" si="0"/>
        <v>2794</v>
      </c>
    </row>
    <row r="30" spans="1:4" x14ac:dyDescent="0.25">
      <c r="A30" s="12">
        <v>45614</v>
      </c>
      <c r="B30" s="1">
        <v>2530</v>
      </c>
      <c r="C30" s="1">
        <v>595</v>
      </c>
      <c r="D30" s="35">
        <f t="shared" si="0"/>
        <v>1935</v>
      </c>
    </row>
    <row r="31" spans="1:4" x14ac:dyDescent="0.25">
      <c r="A31" s="12">
        <v>45621</v>
      </c>
      <c r="B31" s="1">
        <v>2930</v>
      </c>
      <c r="C31" s="1">
        <v>643</v>
      </c>
      <c r="D31" s="35">
        <f t="shared" si="0"/>
        <v>2287</v>
      </c>
    </row>
    <row r="32" spans="1:4" x14ac:dyDescent="0.25">
      <c r="A32" s="12">
        <v>45628</v>
      </c>
      <c r="B32" s="1">
        <v>2912</v>
      </c>
      <c r="C32" s="1">
        <v>529</v>
      </c>
      <c r="D32" s="35">
        <f t="shared" si="0"/>
        <v>2383</v>
      </c>
    </row>
    <row r="33" spans="1:4" x14ac:dyDescent="0.25">
      <c r="A33" s="12">
        <v>45635</v>
      </c>
      <c r="B33" s="1">
        <v>2104</v>
      </c>
      <c r="C33" s="1">
        <v>706</v>
      </c>
      <c r="D33" s="35">
        <f t="shared" si="0"/>
        <v>1398</v>
      </c>
    </row>
    <row r="34" spans="1:4" x14ac:dyDescent="0.25">
      <c r="A34" s="12">
        <v>45642</v>
      </c>
      <c r="B34" s="1">
        <v>3164</v>
      </c>
      <c r="C34" s="1">
        <v>471</v>
      </c>
      <c r="D34" s="35">
        <f t="shared" si="0"/>
        <v>2693</v>
      </c>
    </row>
    <row r="35" spans="1:4" x14ac:dyDescent="0.25">
      <c r="A35" s="12">
        <v>45649</v>
      </c>
      <c r="B35" s="1">
        <v>2956</v>
      </c>
      <c r="C35" s="1">
        <v>406</v>
      </c>
      <c r="D35" s="35">
        <f t="shared" si="0"/>
        <v>2550</v>
      </c>
    </row>
    <row r="36" spans="1:4" x14ac:dyDescent="0.25">
      <c r="A36" s="12">
        <v>45656</v>
      </c>
      <c r="B36" s="1">
        <v>2755</v>
      </c>
      <c r="C36" s="1">
        <v>418</v>
      </c>
      <c r="D36" s="35">
        <f t="shared" si="0"/>
        <v>2337</v>
      </c>
    </row>
    <row r="37" spans="1:4" x14ac:dyDescent="0.25">
      <c r="A37" s="12">
        <v>45663</v>
      </c>
      <c r="B37" s="1">
        <v>2906</v>
      </c>
      <c r="C37" s="1">
        <v>455</v>
      </c>
      <c r="D37" s="35">
        <f t="shared" si="0"/>
        <v>2451</v>
      </c>
    </row>
    <row r="38" spans="1:4" x14ac:dyDescent="0.25">
      <c r="A38" s="12">
        <v>45670</v>
      </c>
      <c r="B38" s="1">
        <v>2631</v>
      </c>
      <c r="C38" s="1">
        <v>290</v>
      </c>
      <c r="D38" s="35">
        <f t="shared" si="0"/>
        <v>2341</v>
      </c>
    </row>
    <row r="39" spans="1:4" x14ac:dyDescent="0.25">
      <c r="A39" s="12">
        <v>45677</v>
      </c>
      <c r="B39" s="1">
        <v>2547</v>
      </c>
      <c r="C39" s="1">
        <v>715</v>
      </c>
      <c r="D39" s="35">
        <f t="shared" si="0"/>
        <v>1832</v>
      </c>
    </row>
    <row r="40" spans="1:4" x14ac:dyDescent="0.25">
      <c r="A40" s="12">
        <v>45684</v>
      </c>
      <c r="B40" s="1">
        <v>2534</v>
      </c>
      <c r="C40" s="1">
        <v>606</v>
      </c>
      <c r="D40" s="35">
        <f t="shared" si="0"/>
        <v>1928</v>
      </c>
    </row>
    <row r="41" spans="1:4" x14ac:dyDescent="0.25">
      <c r="A41" s="12">
        <v>45691</v>
      </c>
      <c r="B41" s="1">
        <v>2010</v>
      </c>
      <c r="C41" s="1">
        <v>330</v>
      </c>
      <c r="D41" s="35">
        <f t="shared" si="0"/>
        <v>1680</v>
      </c>
    </row>
    <row r="42" spans="1:4" x14ac:dyDescent="0.25">
      <c r="A42" s="12">
        <v>45698</v>
      </c>
      <c r="B42" s="1">
        <v>2872</v>
      </c>
      <c r="C42" s="1">
        <v>511</v>
      </c>
      <c r="D42" s="35">
        <f t="shared" si="0"/>
        <v>2361</v>
      </c>
    </row>
    <row r="43" spans="1:4" x14ac:dyDescent="0.25">
      <c r="A43" s="12">
        <v>45705</v>
      </c>
      <c r="B43" s="1">
        <v>2146</v>
      </c>
      <c r="C43" s="1">
        <v>603</v>
      </c>
      <c r="D43" s="35">
        <f t="shared" si="0"/>
        <v>1543</v>
      </c>
    </row>
    <row r="44" spans="1:4" x14ac:dyDescent="0.25">
      <c r="A44" s="12">
        <v>45712</v>
      </c>
      <c r="B44" s="1">
        <v>2509</v>
      </c>
      <c r="C44" s="1">
        <v>796</v>
      </c>
      <c r="D44" s="35">
        <f t="shared" si="0"/>
        <v>1713</v>
      </c>
    </row>
    <row r="45" spans="1:4" x14ac:dyDescent="0.25">
      <c r="A45" s="12">
        <v>45719</v>
      </c>
      <c r="B45" s="1">
        <v>3343</v>
      </c>
      <c r="C45" s="1">
        <v>580</v>
      </c>
      <c r="D45" s="35">
        <f t="shared" si="0"/>
        <v>2763</v>
      </c>
    </row>
    <row r="46" spans="1:4" x14ac:dyDescent="0.25">
      <c r="A46" s="12">
        <v>45726</v>
      </c>
      <c r="B46" s="1">
        <v>2740</v>
      </c>
      <c r="C46" s="1">
        <v>425</v>
      </c>
      <c r="D46" s="35">
        <f t="shared" si="0"/>
        <v>2315</v>
      </c>
    </row>
    <row r="47" spans="1:4" x14ac:dyDescent="0.25">
      <c r="A47" s="12">
        <v>45733</v>
      </c>
      <c r="B47" s="1">
        <v>2543</v>
      </c>
      <c r="C47" s="1">
        <v>355</v>
      </c>
      <c r="D47" s="35">
        <f t="shared" si="0"/>
        <v>2188</v>
      </c>
    </row>
    <row r="48" spans="1:4" x14ac:dyDescent="0.25">
      <c r="A48" s="12">
        <v>45740</v>
      </c>
      <c r="B48" s="1">
        <v>3191</v>
      </c>
      <c r="C48" s="1">
        <v>512</v>
      </c>
      <c r="D48" s="35">
        <f t="shared" si="0"/>
        <v>2679</v>
      </c>
    </row>
    <row r="49" spans="1:4" x14ac:dyDescent="0.25">
      <c r="A49" s="12">
        <v>45747</v>
      </c>
      <c r="B49" s="1">
        <v>3248</v>
      </c>
      <c r="C49" s="1">
        <v>467</v>
      </c>
      <c r="D49" s="35">
        <f t="shared" si="0"/>
        <v>2781</v>
      </c>
    </row>
    <row r="50" spans="1:4" x14ac:dyDescent="0.25">
      <c r="A50" s="12">
        <v>45754</v>
      </c>
      <c r="B50" s="1">
        <v>3710</v>
      </c>
      <c r="C50" s="1">
        <v>419</v>
      </c>
      <c r="D50" s="35">
        <f t="shared" si="0"/>
        <v>3291</v>
      </c>
    </row>
    <row r="51" spans="1:4" x14ac:dyDescent="0.25">
      <c r="A51" s="12">
        <v>45761</v>
      </c>
      <c r="B51" s="1">
        <v>3716</v>
      </c>
      <c r="C51" s="1">
        <v>500</v>
      </c>
      <c r="D51" s="35">
        <f t="shared" si="0"/>
        <v>3216</v>
      </c>
    </row>
    <row r="52" spans="1:4" x14ac:dyDescent="0.25">
      <c r="A52" s="12">
        <v>45768</v>
      </c>
      <c r="B52" s="1">
        <v>2445</v>
      </c>
      <c r="C52" s="1">
        <v>717</v>
      </c>
      <c r="D52" s="35">
        <f t="shared" si="0"/>
        <v>1728</v>
      </c>
    </row>
    <row r="53" spans="1:4" x14ac:dyDescent="0.25">
      <c r="A53" s="12">
        <v>45775</v>
      </c>
      <c r="B53" s="1">
        <v>2715</v>
      </c>
      <c r="C53" s="1">
        <v>337</v>
      </c>
      <c r="D53" s="35">
        <f t="shared" si="0"/>
        <v>2378</v>
      </c>
    </row>
    <row r="54" spans="1:4" x14ac:dyDescent="0.25">
      <c r="A54" s="12">
        <v>45782</v>
      </c>
      <c r="B54" s="1">
        <v>2651</v>
      </c>
      <c r="C54" s="1">
        <v>597</v>
      </c>
      <c r="D54" s="35">
        <f t="shared" si="0"/>
        <v>2054</v>
      </c>
    </row>
    <row r="55" spans="1:4" x14ac:dyDescent="0.25">
      <c r="A55" s="12">
        <v>45789</v>
      </c>
      <c r="B55" s="1">
        <v>2005</v>
      </c>
      <c r="C55" s="1">
        <v>605</v>
      </c>
      <c r="D55" s="35">
        <f t="shared" si="0"/>
        <v>1400</v>
      </c>
    </row>
    <row r="56" spans="1:4" x14ac:dyDescent="0.25">
      <c r="A56" s="12">
        <v>45796</v>
      </c>
      <c r="B56" s="1">
        <v>3861</v>
      </c>
      <c r="C56" s="1">
        <v>292</v>
      </c>
      <c r="D56" s="35">
        <f t="shared" si="0"/>
        <v>3569</v>
      </c>
    </row>
    <row r="57" spans="1:4" x14ac:dyDescent="0.25">
      <c r="A57" s="12">
        <v>45803</v>
      </c>
      <c r="B57" s="1">
        <v>3457</v>
      </c>
      <c r="C57" s="1">
        <v>548</v>
      </c>
      <c r="D57" s="35">
        <f t="shared" si="0"/>
        <v>2909</v>
      </c>
    </row>
    <row r="58" spans="1:4" x14ac:dyDescent="0.25">
      <c r="A58" s="12">
        <v>45810</v>
      </c>
      <c r="B58" s="1">
        <v>2674</v>
      </c>
      <c r="C58" s="1">
        <v>625</v>
      </c>
      <c r="D58" s="35">
        <f t="shared" si="0"/>
        <v>2049</v>
      </c>
    </row>
    <row r="59" spans="1:4" x14ac:dyDescent="0.25">
      <c r="A59" s="12">
        <v>45817</v>
      </c>
      <c r="B59" s="1">
        <v>2910</v>
      </c>
      <c r="C59" s="1">
        <v>667</v>
      </c>
      <c r="D59" s="35">
        <f t="shared" si="0"/>
        <v>2243</v>
      </c>
    </row>
    <row r="60" spans="1:4" x14ac:dyDescent="0.25">
      <c r="A60" s="12">
        <v>45824</v>
      </c>
      <c r="B60" s="1">
        <v>2450</v>
      </c>
      <c r="C60" s="1">
        <v>433</v>
      </c>
      <c r="D60" s="35">
        <f t="shared" si="0"/>
        <v>2017</v>
      </c>
    </row>
    <row r="61" spans="1:4" x14ac:dyDescent="0.25">
      <c r="A61" s="12">
        <v>45831</v>
      </c>
      <c r="B61" s="1">
        <v>1993</v>
      </c>
      <c r="C61" s="1">
        <v>609</v>
      </c>
      <c r="D61" s="35">
        <f t="shared" si="0"/>
        <v>1384</v>
      </c>
    </row>
    <row r="62" spans="1:4" x14ac:dyDescent="0.25">
      <c r="A62" s="12">
        <v>45838</v>
      </c>
      <c r="B62" s="1">
        <v>2635</v>
      </c>
      <c r="C62" s="1">
        <v>320</v>
      </c>
      <c r="D62" s="35">
        <f t="shared" si="0"/>
        <v>2315</v>
      </c>
    </row>
    <row r="63" spans="1:4" x14ac:dyDescent="0.25">
      <c r="A63" s="12">
        <v>45845</v>
      </c>
      <c r="B63" s="1">
        <v>3180</v>
      </c>
      <c r="C63" s="1">
        <v>511</v>
      </c>
      <c r="D63" s="35">
        <f t="shared" si="0"/>
        <v>2669</v>
      </c>
    </row>
    <row r="64" spans="1:4" x14ac:dyDescent="0.25">
      <c r="A64" s="12">
        <v>45852</v>
      </c>
      <c r="B64" s="1">
        <v>3238</v>
      </c>
      <c r="C64" s="1">
        <v>584</v>
      </c>
      <c r="D64" s="35">
        <f t="shared" si="0"/>
        <v>2654</v>
      </c>
    </row>
    <row r="65" spans="1:4" x14ac:dyDescent="0.25">
      <c r="A65" s="12">
        <v>45859</v>
      </c>
      <c r="B65" s="1">
        <v>3197</v>
      </c>
      <c r="C65" s="1">
        <v>503</v>
      </c>
      <c r="D65" s="35">
        <f t="shared" si="0"/>
        <v>2694</v>
      </c>
    </row>
    <row r="66" spans="1:4" x14ac:dyDescent="0.25">
      <c r="A66" s="12">
        <v>45866</v>
      </c>
      <c r="B66" s="1">
        <v>3695</v>
      </c>
      <c r="C66" s="1">
        <v>459</v>
      </c>
      <c r="D66" s="35">
        <f t="shared" si="0"/>
        <v>3236</v>
      </c>
    </row>
    <row r="67" spans="1:4" x14ac:dyDescent="0.25">
      <c r="A67" s="12">
        <v>45873</v>
      </c>
      <c r="B67" s="1">
        <v>2205</v>
      </c>
      <c r="C67" s="1">
        <v>516</v>
      </c>
      <c r="D67" s="35">
        <f t="shared" si="0"/>
        <v>1689</v>
      </c>
    </row>
    <row r="68" spans="1:4" x14ac:dyDescent="0.25">
      <c r="A68" s="12">
        <v>45880</v>
      </c>
      <c r="B68" s="1">
        <v>3025</v>
      </c>
      <c r="C68" s="1">
        <v>678</v>
      </c>
      <c r="D68" s="35">
        <f t="shared" si="0"/>
        <v>2347</v>
      </c>
    </row>
    <row r="69" spans="1:4" x14ac:dyDescent="0.25">
      <c r="A69" s="12">
        <v>45887</v>
      </c>
      <c r="B69" s="1">
        <v>2222</v>
      </c>
      <c r="C69" s="1">
        <v>403</v>
      </c>
      <c r="D69" s="35">
        <f t="shared" si="0"/>
        <v>1819</v>
      </c>
    </row>
    <row r="70" spans="1:4" x14ac:dyDescent="0.25">
      <c r="A70" s="12">
        <v>45894</v>
      </c>
      <c r="B70" s="1">
        <v>3387</v>
      </c>
      <c r="C70" s="1">
        <v>741</v>
      </c>
      <c r="D70" s="35">
        <f t="shared" si="0"/>
        <v>2646</v>
      </c>
    </row>
    <row r="71" spans="1:4" x14ac:dyDescent="0.25">
      <c r="A71" s="12">
        <v>45901</v>
      </c>
      <c r="B71" s="1">
        <v>2127</v>
      </c>
      <c r="C71" s="1">
        <v>703</v>
      </c>
      <c r="D71" s="35">
        <f t="shared" ref="D71:D72" si="1">B71-C71</f>
        <v>1424</v>
      </c>
    </row>
    <row r="72" spans="1:4" x14ac:dyDescent="0.25">
      <c r="A72" s="12">
        <v>45908</v>
      </c>
      <c r="B72" s="1">
        <v>1877</v>
      </c>
      <c r="C72" s="1">
        <v>441</v>
      </c>
      <c r="D72" s="35">
        <f t="shared" si="1"/>
        <v>1436</v>
      </c>
    </row>
    <row r="74" spans="1:4" x14ac:dyDescent="0.25">
      <c r="A74" t="s">
        <v>517</v>
      </c>
    </row>
    <row r="75" spans="1:4" ht="15.75" thickBot="1" x14ac:dyDescent="0.3"/>
    <row r="76" spans="1:4" ht="16.5" thickTop="1" thickBot="1" x14ac:dyDescent="0.3">
      <c r="A76" s="58" t="s">
        <v>518</v>
      </c>
      <c r="B76" s="58"/>
      <c r="C76" s="49">
        <f>MAX(D6:D72)</f>
        <v>3576</v>
      </c>
    </row>
    <row r="77" spans="1:4" ht="15.75" thickTop="1" x14ac:dyDescent="0.25"/>
    <row r="78" spans="1:4" x14ac:dyDescent="0.25">
      <c r="A78" t="s">
        <v>519</v>
      </c>
    </row>
    <row r="80" spans="1:4" x14ac:dyDescent="0.25">
      <c r="A80" t="s">
        <v>520</v>
      </c>
    </row>
    <row r="82" spans="2:2" x14ac:dyDescent="0.25">
      <c r="B82" t="s">
        <v>521</v>
      </c>
    </row>
  </sheetData>
  <mergeCells count="1">
    <mergeCell ref="A76:B76"/>
  </mergeCells>
  <conditionalFormatting sqref="B82">
    <cfRule type="cellIs" dxfId="1" priority="2" operator="equal">
      <formula>3575</formula>
    </cfRule>
  </conditionalFormatting>
  <conditionalFormatting sqref="D6:D72">
    <cfRule type="cellIs" dxfId="0" priority="1" operator="equal">
      <formula>3576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F3DD8-211E-4548-9273-32B4ED3925E4}">
  <dimension ref="A1:E306"/>
  <sheetViews>
    <sheetView workbookViewId="0">
      <selection activeCell="A6" sqref="A6"/>
    </sheetView>
  </sheetViews>
  <sheetFormatPr defaultRowHeight="15" x14ac:dyDescent="0.25"/>
  <cols>
    <col min="1" max="1" width="10.42578125" bestFit="1" customWidth="1"/>
    <col min="2" max="2" width="16.7109375" customWidth="1"/>
    <col min="3" max="3" width="12.140625" customWidth="1"/>
    <col min="4" max="4" width="17.85546875" customWidth="1"/>
    <col min="5" max="5" width="12" customWidth="1"/>
  </cols>
  <sheetData>
    <row r="1" spans="1:5" x14ac:dyDescent="0.25">
      <c r="A1" s="8" t="s">
        <v>514</v>
      </c>
    </row>
    <row r="3" spans="1:5" x14ac:dyDescent="0.25">
      <c r="A3" t="s">
        <v>528</v>
      </c>
    </row>
    <row r="4" spans="1:5" x14ac:dyDescent="0.25">
      <c r="A4" t="s">
        <v>530</v>
      </c>
    </row>
    <row r="5" spans="1:5" x14ac:dyDescent="0.25">
      <c r="B5" t="s">
        <v>531</v>
      </c>
    </row>
    <row r="6" spans="1:5" x14ac:dyDescent="0.25">
      <c r="A6" s="35"/>
      <c r="B6" s="35"/>
      <c r="C6" s="35"/>
      <c r="D6" s="35"/>
      <c r="E6" s="35"/>
    </row>
    <row r="7" spans="1:5" x14ac:dyDescent="0.25">
      <c r="A7" s="35"/>
      <c r="B7" s="35"/>
      <c r="C7" s="35"/>
      <c r="D7" s="35"/>
      <c r="E7" s="35"/>
    </row>
    <row r="8" spans="1:5" x14ac:dyDescent="0.25">
      <c r="A8" s="35"/>
      <c r="B8" s="35"/>
      <c r="C8" s="35"/>
      <c r="D8" s="35"/>
      <c r="E8" s="35"/>
    </row>
    <row r="9" spans="1:5" x14ac:dyDescent="0.25">
      <c r="A9" s="35"/>
      <c r="B9" s="35"/>
      <c r="C9" s="35"/>
      <c r="D9" s="35"/>
      <c r="E9" s="35"/>
    </row>
    <row r="10" spans="1:5" x14ac:dyDescent="0.25">
      <c r="A10" s="35"/>
      <c r="B10" s="35"/>
      <c r="C10" s="35"/>
      <c r="D10" s="35"/>
      <c r="E10" s="35"/>
    </row>
    <row r="11" spans="1:5" x14ac:dyDescent="0.25">
      <c r="A11" s="35"/>
      <c r="B11" s="35"/>
      <c r="C11" s="35"/>
      <c r="D11" s="35"/>
      <c r="E11" s="35"/>
    </row>
    <row r="12" spans="1:5" x14ac:dyDescent="0.25">
      <c r="A12" s="35"/>
      <c r="B12" s="35"/>
      <c r="C12" s="35"/>
      <c r="D12" s="35"/>
      <c r="E12" s="35"/>
    </row>
    <row r="13" spans="1:5" x14ac:dyDescent="0.25">
      <c r="A13" s="35"/>
      <c r="B13" s="35"/>
      <c r="C13" s="35"/>
      <c r="D13" s="35"/>
      <c r="E13" s="35"/>
    </row>
    <row r="14" spans="1:5" x14ac:dyDescent="0.25">
      <c r="A14" s="35"/>
      <c r="B14" s="35"/>
      <c r="C14" s="35"/>
      <c r="D14" s="35"/>
      <c r="E14" s="35"/>
    </row>
    <row r="15" spans="1:5" x14ac:dyDescent="0.25">
      <c r="A15" s="35"/>
      <c r="B15" s="35"/>
      <c r="C15" s="35"/>
      <c r="D15" s="35"/>
      <c r="E15" s="35"/>
    </row>
    <row r="16" spans="1:5" x14ac:dyDescent="0.25">
      <c r="A16" s="35"/>
      <c r="B16" s="35"/>
      <c r="C16" s="35"/>
      <c r="D16" s="35"/>
      <c r="E16" s="35"/>
    </row>
    <row r="17" spans="1:5" x14ac:dyDescent="0.25">
      <c r="A17" s="35"/>
      <c r="B17" s="35"/>
      <c r="C17" s="35"/>
      <c r="D17" s="35"/>
      <c r="E17" s="35"/>
    </row>
    <row r="18" spans="1:5" x14ac:dyDescent="0.25">
      <c r="A18" s="35"/>
      <c r="B18" s="35"/>
      <c r="C18" s="35"/>
      <c r="D18" s="35"/>
      <c r="E18" s="35"/>
    </row>
    <row r="19" spans="1:5" x14ac:dyDescent="0.25">
      <c r="A19" s="35"/>
      <c r="B19" s="35"/>
      <c r="C19" s="35"/>
      <c r="D19" s="35"/>
      <c r="E19" s="35"/>
    </row>
    <row r="20" spans="1:5" x14ac:dyDescent="0.25">
      <c r="A20" s="35"/>
      <c r="B20" s="35"/>
      <c r="C20" s="35"/>
      <c r="D20" s="35"/>
      <c r="E20" s="35"/>
    </row>
    <row r="21" spans="1:5" x14ac:dyDescent="0.25">
      <c r="A21" s="35"/>
      <c r="B21" s="35"/>
      <c r="C21" s="35"/>
      <c r="D21" s="35"/>
      <c r="E21" s="35"/>
    </row>
    <row r="22" spans="1:5" x14ac:dyDescent="0.25">
      <c r="A22" s="35"/>
      <c r="B22" s="35"/>
      <c r="C22" s="35"/>
      <c r="D22" s="35"/>
      <c r="E22" s="35"/>
    </row>
    <row r="23" spans="1:5" x14ac:dyDescent="0.25">
      <c r="A23" s="35"/>
      <c r="B23" s="35"/>
      <c r="C23" s="35"/>
      <c r="D23" s="35"/>
      <c r="E23" s="35"/>
    </row>
    <row r="24" spans="1:5" x14ac:dyDescent="0.25">
      <c r="A24" s="35"/>
      <c r="B24" s="35"/>
      <c r="C24" s="35"/>
      <c r="D24" s="35"/>
      <c r="E24" s="35"/>
    </row>
    <row r="25" spans="1:5" x14ac:dyDescent="0.25">
      <c r="A25" s="35"/>
      <c r="B25" s="35"/>
      <c r="C25" s="35"/>
      <c r="D25" s="35"/>
      <c r="E25" s="35"/>
    </row>
    <row r="26" spans="1:5" x14ac:dyDescent="0.25">
      <c r="A26" s="35"/>
      <c r="B26" s="35"/>
      <c r="C26" s="35"/>
      <c r="D26" s="35"/>
      <c r="E26" s="35"/>
    </row>
    <row r="27" spans="1:5" x14ac:dyDescent="0.25">
      <c r="A27" s="35"/>
      <c r="B27" s="35"/>
      <c r="C27" s="35"/>
      <c r="D27" s="35"/>
      <c r="E27" s="35"/>
    </row>
    <row r="28" spans="1:5" x14ac:dyDescent="0.25">
      <c r="A28" s="35"/>
      <c r="B28" s="35"/>
      <c r="C28" s="35"/>
      <c r="D28" s="35"/>
      <c r="E28" s="35"/>
    </row>
    <row r="29" spans="1:5" x14ac:dyDescent="0.25">
      <c r="A29" s="35"/>
      <c r="B29" s="35"/>
      <c r="C29" s="35"/>
      <c r="D29" s="35"/>
      <c r="E29" s="35"/>
    </row>
    <row r="30" spans="1:5" x14ac:dyDescent="0.25">
      <c r="A30" s="35"/>
      <c r="B30" s="35"/>
      <c r="C30" s="35"/>
      <c r="D30" s="35"/>
      <c r="E30" s="35"/>
    </row>
    <row r="31" spans="1:5" x14ac:dyDescent="0.25">
      <c r="A31" s="35"/>
      <c r="B31" s="35"/>
      <c r="C31" s="35"/>
      <c r="D31" s="35"/>
      <c r="E31" s="35"/>
    </row>
    <row r="32" spans="1:5" x14ac:dyDescent="0.25">
      <c r="A32" s="35"/>
      <c r="B32" s="35"/>
      <c r="C32" s="35"/>
      <c r="D32" s="35"/>
      <c r="E32" s="35"/>
    </row>
    <row r="33" spans="1:5" x14ac:dyDescent="0.25">
      <c r="A33" s="35"/>
      <c r="B33" s="35"/>
      <c r="C33" s="35"/>
      <c r="D33" s="35"/>
      <c r="E33" s="35"/>
    </row>
    <row r="34" spans="1:5" x14ac:dyDescent="0.25">
      <c r="A34" s="35"/>
      <c r="B34" s="35"/>
      <c r="C34" s="35"/>
      <c r="D34" s="35"/>
      <c r="E34" s="35"/>
    </row>
    <row r="35" spans="1:5" x14ac:dyDescent="0.25">
      <c r="A35" s="35"/>
      <c r="B35" s="35"/>
      <c r="C35" s="35"/>
      <c r="D35" s="35"/>
      <c r="E35" s="35"/>
    </row>
    <row r="36" spans="1:5" x14ac:dyDescent="0.25">
      <c r="A36" s="35"/>
      <c r="B36" s="35"/>
      <c r="C36" s="35"/>
      <c r="D36" s="35"/>
      <c r="E36" s="35"/>
    </row>
    <row r="37" spans="1:5" x14ac:dyDescent="0.25">
      <c r="A37" s="35"/>
      <c r="B37" s="35"/>
      <c r="C37" s="35"/>
      <c r="D37" s="35"/>
      <c r="E37" s="35"/>
    </row>
    <row r="38" spans="1:5" x14ac:dyDescent="0.25">
      <c r="A38" s="35"/>
      <c r="B38" s="35"/>
      <c r="C38" s="35"/>
      <c r="D38" s="35"/>
      <c r="E38" s="35"/>
    </row>
    <row r="39" spans="1:5" x14ac:dyDescent="0.25">
      <c r="A39" s="35"/>
      <c r="B39" s="35"/>
      <c r="C39" s="35"/>
      <c r="D39" s="35"/>
      <c r="E39" s="35"/>
    </row>
    <row r="40" spans="1:5" x14ac:dyDescent="0.25">
      <c r="A40" s="35"/>
      <c r="B40" s="35"/>
      <c r="C40" s="35"/>
      <c r="D40" s="35"/>
      <c r="E40" s="35"/>
    </row>
    <row r="41" spans="1:5" x14ac:dyDescent="0.25">
      <c r="A41" s="35"/>
      <c r="B41" s="35"/>
      <c r="C41" s="35"/>
      <c r="D41" s="35"/>
      <c r="E41" s="35"/>
    </row>
    <row r="42" spans="1:5" x14ac:dyDescent="0.25">
      <c r="A42" s="35"/>
      <c r="B42" s="35"/>
      <c r="C42" s="35"/>
      <c r="D42" s="35"/>
      <c r="E42" s="35"/>
    </row>
    <row r="43" spans="1:5" x14ac:dyDescent="0.25">
      <c r="A43" s="35"/>
      <c r="B43" s="35"/>
      <c r="C43" s="35"/>
      <c r="D43" s="35"/>
      <c r="E43" s="35"/>
    </row>
    <row r="44" spans="1:5" x14ac:dyDescent="0.25">
      <c r="A44" s="35"/>
      <c r="B44" s="35"/>
      <c r="C44" s="35"/>
      <c r="D44" s="35"/>
      <c r="E44" s="35"/>
    </row>
    <row r="45" spans="1:5" x14ac:dyDescent="0.25">
      <c r="A45" s="35"/>
      <c r="B45" s="35"/>
      <c r="C45" s="35"/>
      <c r="D45" s="35"/>
      <c r="E45" s="35"/>
    </row>
    <row r="46" spans="1:5" x14ac:dyDescent="0.25">
      <c r="A46" s="35"/>
      <c r="B46" s="35"/>
      <c r="C46" s="35"/>
      <c r="D46" s="35"/>
      <c r="E46" s="35"/>
    </row>
    <row r="47" spans="1:5" x14ac:dyDescent="0.25">
      <c r="A47" s="35"/>
      <c r="B47" s="35"/>
      <c r="C47" s="35"/>
      <c r="D47" s="35"/>
      <c r="E47" s="35"/>
    </row>
    <row r="48" spans="1:5" x14ac:dyDescent="0.25">
      <c r="A48" s="35"/>
      <c r="B48" s="35"/>
      <c r="C48" s="35"/>
      <c r="D48" s="35"/>
      <c r="E48" s="35"/>
    </row>
    <row r="49" spans="1:5" x14ac:dyDescent="0.25">
      <c r="A49" s="35"/>
      <c r="B49" s="35"/>
      <c r="C49" s="35"/>
      <c r="D49" s="35"/>
      <c r="E49" s="35"/>
    </row>
    <row r="50" spans="1:5" x14ac:dyDescent="0.25">
      <c r="A50" s="35"/>
      <c r="B50" s="35"/>
      <c r="C50" s="35"/>
      <c r="D50" s="35"/>
      <c r="E50" s="35"/>
    </row>
    <row r="51" spans="1:5" x14ac:dyDescent="0.25">
      <c r="A51" s="35"/>
      <c r="B51" s="35"/>
      <c r="C51" s="35"/>
      <c r="D51" s="35"/>
      <c r="E51" s="35"/>
    </row>
    <row r="52" spans="1:5" x14ac:dyDescent="0.25">
      <c r="A52" s="35"/>
      <c r="B52" s="35"/>
      <c r="C52" s="35"/>
      <c r="D52" s="35"/>
      <c r="E52" s="35"/>
    </row>
    <row r="53" spans="1:5" x14ac:dyDescent="0.25">
      <c r="A53" s="35"/>
      <c r="B53" s="35"/>
      <c r="C53" s="35"/>
      <c r="D53" s="35"/>
      <c r="E53" s="35"/>
    </row>
    <row r="54" spans="1:5" x14ac:dyDescent="0.25">
      <c r="A54" s="35"/>
      <c r="B54" s="35"/>
      <c r="C54" s="35"/>
      <c r="D54" s="35"/>
      <c r="E54" s="35"/>
    </row>
    <row r="55" spans="1:5" x14ac:dyDescent="0.25">
      <c r="A55" s="35"/>
      <c r="B55" s="35"/>
      <c r="C55" s="35"/>
      <c r="D55" s="35"/>
      <c r="E55" s="35"/>
    </row>
    <row r="56" spans="1:5" x14ac:dyDescent="0.25">
      <c r="A56" s="35"/>
      <c r="B56" s="35"/>
      <c r="C56" s="35"/>
      <c r="D56" s="35"/>
      <c r="E56" s="35"/>
    </row>
    <row r="57" spans="1:5" x14ac:dyDescent="0.25">
      <c r="A57" s="35"/>
      <c r="B57" s="35"/>
      <c r="C57" s="35"/>
      <c r="D57" s="35"/>
      <c r="E57" s="35"/>
    </row>
    <row r="58" spans="1:5" x14ac:dyDescent="0.25">
      <c r="A58" s="35"/>
      <c r="B58" s="35"/>
      <c r="C58" s="35"/>
      <c r="D58" s="35"/>
      <c r="E58" s="35"/>
    </row>
    <row r="59" spans="1:5" x14ac:dyDescent="0.25">
      <c r="A59" s="35"/>
      <c r="B59" s="35"/>
      <c r="C59" s="35"/>
      <c r="D59" s="35"/>
      <c r="E59" s="35"/>
    </row>
    <row r="60" spans="1:5" x14ac:dyDescent="0.25">
      <c r="A60" s="35"/>
      <c r="B60" s="35"/>
      <c r="C60" s="35"/>
      <c r="D60" s="35"/>
      <c r="E60" s="35"/>
    </row>
    <row r="61" spans="1:5" x14ac:dyDescent="0.25">
      <c r="A61" s="35"/>
      <c r="B61" s="35"/>
      <c r="C61" s="35"/>
      <c r="D61" s="35"/>
      <c r="E61" s="35"/>
    </row>
    <row r="62" spans="1:5" x14ac:dyDescent="0.25">
      <c r="A62" s="35"/>
      <c r="B62" s="35"/>
      <c r="C62" s="35"/>
      <c r="D62" s="35"/>
      <c r="E62" s="35"/>
    </row>
    <row r="63" spans="1:5" x14ac:dyDescent="0.25">
      <c r="A63" s="35"/>
      <c r="B63" s="35"/>
      <c r="C63" s="35"/>
      <c r="D63" s="35"/>
      <c r="E63" s="35"/>
    </row>
    <row r="64" spans="1:5" x14ac:dyDescent="0.25">
      <c r="A64" s="35"/>
      <c r="B64" s="35"/>
      <c r="C64" s="35"/>
      <c r="D64" s="35"/>
      <c r="E64" s="35"/>
    </row>
    <row r="65" spans="1:5" x14ac:dyDescent="0.25">
      <c r="A65" s="35"/>
      <c r="B65" s="35"/>
      <c r="C65" s="35"/>
      <c r="D65" s="35"/>
      <c r="E65" s="35"/>
    </row>
    <row r="66" spans="1:5" x14ac:dyDescent="0.25">
      <c r="A66" s="35"/>
      <c r="B66" s="35"/>
      <c r="C66" s="35"/>
      <c r="D66" s="35"/>
      <c r="E66" s="35"/>
    </row>
    <row r="67" spans="1:5" x14ac:dyDescent="0.25">
      <c r="A67" s="35"/>
      <c r="B67" s="35"/>
      <c r="C67" s="35"/>
      <c r="D67" s="35"/>
      <c r="E67" s="35"/>
    </row>
    <row r="68" spans="1:5" x14ac:dyDescent="0.25">
      <c r="A68" s="35"/>
      <c r="B68" s="35"/>
      <c r="C68" s="35"/>
      <c r="D68" s="35"/>
      <c r="E68" s="35"/>
    </row>
    <row r="69" spans="1:5" x14ac:dyDescent="0.25">
      <c r="A69" s="35"/>
      <c r="B69" s="35"/>
      <c r="C69" s="35"/>
      <c r="D69" s="35"/>
      <c r="E69" s="35"/>
    </row>
    <row r="70" spans="1:5" x14ac:dyDescent="0.25">
      <c r="A70" s="35"/>
      <c r="B70" s="35"/>
      <c r="C70" s="35"/>
      <c r="D70" s="35"/>
      <c r="E70" s="35"/>
    </row>
    <row r="71" spans="1:5" x14ac:dyDescent="0.25">
      <c r="A71" s="35"/>
      <c r="B71" s="35"/>
      <c r="C71" s="35"/>
      <c r="D71" s="35"/>
      <c r="E71" s="35"/>
    </row>
    <row r="72" spans="1:5" x14ac:dyDescent="0.25">
      <c r="A72" s="35"/>
      <c r="B72" s="35"/>
      <c r="C72" s="35"/>
      <c r="D72" s="35"/>
      <c r="E72" s="35"/>
    </row>
    <row r="73" spans="1:5" x14ac:dyDescent="0.25">
      <c r="A73" s="35"/>
      <c r="B73" s="35"/>
      <c r="C73" s="35"/>
      <c r="D73" s="35"/>
      <c r="E73" s="35"/>
    </row>
    <row r="74" spans="1:5" x14ac:dyDescent="0.25">
      <c r="A74" s="35"/>
      <c r="B74" s="35"/>
      <c r="C74" s="35"/>
      <c r="D74" s="35"/>
      <c r="E74" s="35"/>
    </row>
    <row r="75" spans="1:5" x14ac:dyDescent="0.25">
      <c r="A75" s="35"/>
      <c r="B75" s="35"/>
      <c r="C75" s="35"/>
      <c r="D75" s="35"/>
      <c r="E75" s="35"/>
    </row>
    <row r="76" spans="1:5" x14ac:dyDescent="0.25">
      <c r="A76" s="35"/>
      <c r="B76" s="35"/>
      <c r="C76" s="35"/>
      <c r="D76" s="35"/>
      <c r="E76" s="35"/>
    </row>
    <row r="77" spans="1:5" x14ac:dyDescent="0.25">
      <c r="A77" s="35"/>
      <c r="B77" s="35"/>
      <c r="C77" s="35"/>
      <c r="D77" s="35"/>
      <c r="E77" s="35"/>
    </row>
    <row r="78" spans="1:5" x14ac:dyDescent="0.25">
      <c r="A78" s="35"/>
      <c r="B78" s="35"/>
      <c r="C78" s="35"/>
      <c r="D78" s="35"/>
      <c r="E78" s="35"/>
    </row>
    <row r="79" spans="1:5" x14ac:dyDescent="0.25">
      <c r="A79" s="35"/>
      <c r="B79" s="35"/>
      <c r="C79" s="35"/>
      <c r="D79" s="35"/>
      <c r="E79" s="35"/>
    </row>
    <row r="80" spans="1:5" x14ac:dyDescent="0.25">
      <c r="A80" s="35"/>
      <c r="B80" s="35"/>
      <c r="C80" s="35"/>
      <c r="D80" s="35"/>
      <c r="E80" s="35"/>
    </row>
    <row r="81" spans="1:5" x14ac:dyDescent="0.25">
      <c r="A81" s="35"/>
      <c r="B81" s="35"/>
      <c r="C81" s="35"/>
      <c r="D81" s="35"/>
      <c r="E81" s="35"/>
    </row>
    <row r="82" spans="1:5" x14ac:dyDescent="0.25">
      <c r="A82" s="35"/>
      <c r="B82" s="35"/>
      <c r="C82" s="35"/>
      <c r="D82" s="35"/>
      <c r="E82" s="35"/>
    </row>
    <row r="83" spans="1:5" x14ac:dyDescent="0.25">
      <c r="A83" s="35"/>
      <c r="B83" s="35"/>
      <c r="C83" s="35"/>
      <c r="D83" s="35"/>
      <c r="E83" s="35"/>
    </row>
    <row r="84" spans="1:5" x14ac:dyDescent="0.25">
      <c r="A84" s="35"/>
      <c r="B84" s="35"/>
      <c r="C84" s="35"/>
      <c r="D84" s="35"/>
      <c r="E84" s="35"/>
    </row>
    <row r="85" spans="1:5" x14ac:dyDescent="0.25">
      <c r="A85" s="35"/>
      <c r="B85" s="35"/>
      <c r="C85" s="35"/>
      <c r="D85" s="35"/>
      <c r="E85" s="35"/>
    </row>
    <row r="86" spans="1:5" x14ac:dyDescent="0.25">
      <c r="A86" s="35"/>
      <c r="B86" s="35"/>
      <c r="C86" s="35"/>
      <c r="D86" s="35"/>
      <c r="E86" s="35"/>
    </row>
    <row r="87" spans="1:5" x14ac:dyDescent="0.25">
      <c r="A87" s="35"/>
      <c r="B87" s="35"/>
      <c r="C87" s="35"/>
      <c r="D87" s="35"/>
      <c r="E87" s="35"/>
    </row>
    <row r="88" spans="1:5" x14ac:dyDescent="0.25">
      <c r="A88" s="35"/>
      <c r="B88" s="35"/>
      <c r="C88" s="35"/>
      <c r="D88" s="35"/>
      <c r="E88" s="35"/>
    </row>
    <row r="89" spans="1:5" x14ac:dyDescent="0.25">
      <c r="A89" s="35"/>
      <c r="B89" s="35"/>
      <c r="C89" s="35"/>
      <c r="D89" s="35"/>
      <c r="E89" s="35"/>
    </row>
    <row r="90" spans="1:5" x14ac:dyDescent="0.25">
      <c r="A90" s="35"/>
      <c r="B90" s="35"/>
      <c r="C90" s="35"/>
      <c r="D90" s="35"/>
      <c r="E90" s="35"/>
    </row>
    <row r="91" spans="1:5" x14ac:dyDescent="0.25">
      <c r="A91" s="35"/>
      <c r="B91" s="35"/>
      <c r="C91" s="35"/>
      <c r="D91" s="35"/>
      <c r="E91" s="35"/>
    </row>
    <row r="92" spans="1:5" x14ac:dyDescent="0.25">
      <c r="A92" s="35"/>
      <c r="B92" s="35"/>
      <c r="C92" s="35"/>
      <c r="D92" s="35"/>
      <c r="E92" s="35"/>
    </row>
    <row r="93" spans="1:5" x14ac:dyDescent="0.25">
      <c r="A93" s="35"/>
      <c r="B93" s="35"/>
      <c r="C93" s="35"/>
      <c r="D93" s="35"/>
      <c r="E93" s="35"/>
    </row>
    <row r="94" spans="1:5" x14ac:dyDescent="0.25">
      <c r="A94" s="35"/>
      <c r="B94" s="35"/>
      <c r="C94" s="35"/>
      <c r="D94" s="35"/>
      <c r="E94" s="35"/>
    </row>
    <row r="95" spans="1:5" x14ac:dyDescent="0.25">
      <c r="A95" s="35"/>
      <c r="B95" s="35"/>
      <c r="C95" s="35"/>
      <c r="D95" s="35"/>
      <c r="E95" s="35"/>
    </row>
    <row r="96" spans="1:5" x14ac:dyDescent="0.25">
      <c r="A96" s="35"/>
      <c r="B96" s="35"/>
      <c r="C96" s="35"/>
      <c r="D96" s="35"/>
      <c r="E96" s="35"/>
    </row>
    <row r="97" spans="1:5" x14ac:dyDescent="0.25">
      <c r="A97" s="35"/>
      <c r="B97" s="35"/>
      <c r="C97" s="35"/>
      <c r="D97" s="35"/>
      <c r="E97" s="35"/>
    </row>
    <row r="98" spans="1:5" x14ac:dyDescent="0.25">
      <c r="A98" s="35"/>
      <c r="B98" s="35"/>
      <c r="C98" s="35"/>
      <c r="D98" s="35"/>
      <c r="E98" s="35"/>
    </row>
    <row r="99" spans="1:5" x14ac:dyDescent="0.25">
      <c r="A99" s="35"/>
      <c r="B99" s="35"/>
      <c r="C99" s="35"/>
      <c r="D99" s="35"/>
      <c r="E99" s="35"/>
    </row>
    <row r="100" spans="1:5" x14ac:dyDescent="0.25">
      <c r="A100" s="35"/>
      <c r="B100" s="35"/>
      <c r="C100" s="35"/>
      <c r="D100" s="35"/>
      <c r="E100" s="35"/>
    </row>
    <row r="101" spans="1:5" x14ac:dyDescent="0.25">
      <c r="A101" s="35"/>
      <c r="B101" s="35"/>
      <c r="C101" s="35"/>
      <c r="D101" s="35"/>
      <c r="E101" s="35"/>
    </row>
    <row r="102" spans="1:5" x14ac:dyDescent="0.25">
      <c r="A102" s="35"/>
      <c r="B102" s="35"/>
      <c r="C102" s="35"/>
      <c r="D102" s="35"/>
      <c r="E102" s="35"/>
    </row>
    <row r="103" spans="1:5" x14ac:dyDescent="0.25">
      <c r="A103" s="35"/>
      <c r="B103" s="35"/>
      <c r="C103" s="35"/>
      <c r="D103" s="35"/>
      <c r="E103" s="35"/>
    </row>
    <row r="104" spans="1:5" x14ac:dyDescent="0.25">
      <c r="A104" s="35"/>
      <c r="B104" s="35"/>
      <c r="C104" s="35"/>
      <c r="D104" s="35"/>
      <c r="E104" s="35"/>
    </row>
    <row r="105" spans="1:5" x14ac:dyDescent="0.25">
      <c r="A105" s="35"/>
      <c r="B105" s="35"/>
      <c r="C105" s="35"/>
      <c r="D105" s="35"/>
      <c r="E105" s="35"/>
    </row>
    <row r="106" spans="1:5" x14ac:dyDescent="0.25">
      <c r="A106" s="35"/>
      <c r="B106" s="35"/>
      <c r="C106" s="35"/>
      <c r="D106" s="35"/>
      <c r="E106" s="35"/>
    </row>
    <row r="107" spans="1:5" x14ac:dyDescent="0.25">
      <c r="A107" s="35"/>
      <c r="B107" s="35"/>
      <c r="C107" s="35"/>
      <c r="D107" s="35"/>
      <c r="E107" s="35"/>
    </row>
    <row r="108" spans="1:5" x14ac:dyDescent="0.25">
      <c r="A108" s="35"/>
      <c r="B108" s="35"/>
      <c r="C108" s="35"/>
      <c r="D108" s="35"/>
      <c r="E108" s="35"/>
    </row>
    <row r="109" spans="1:5" x14ac:dyDescent="0.25">
      <c r="A109" s="35"/>
      <c r="B109" s="35"/>
      <c r="C109" s="35"/>
      <c r="D109" s="35"/>
      <c r="E109" s="35"/>
    </row>
    <row r="110" spans="1:5" x14ac:dyDescent="0.25">
      <c r="A110" s="35"/>
      <c r="B110" s="35"/>
      <c r="C110" s="35"/>
      <c r="D110" s="35"/>
      <c r="E110" s="35"/>
    </row>
    <row r="111" spans="1:5" x14ac:dyDescent="0.25">
      <c r="A111" s="35"/>
      <c r="B111" s="35"/>
      <c r="C111" s="35"/>
      <c r="D111" s="35"/>
      <c r="E111" s="35"/>
    </row>
    <row r="112" spans="1:5" x14ac:dyDescent="0.25">
      <c r="A112" s="35"/>
      <c r="B112" s="35"/>
      <c r="C112" s="35"/>
      <c r="D112" s="35"/>
      <c r="E112" s="35"/>
    </row>
    <row r="113" spans="1:5" x14ac:dyDescent="0.25">
      <c r="A113" s="35"/>
      <c r="B113" s="35"/>
      <c r="C113" s="35"/>
      <c r="D113" s="35"/>
      <c r="E113" s="35"/>
    </row>
    <row r="114" spans="1:5" x14ac:dyDescent="0.25">
      <c r="A114" s="35"/>
      <c r="B114" s="35"/>
      <c r="C114" s="35"/>
      <c r="D114" s="35"/>
      <c r="E114" s="35"/>
    </row>
    <row r="115" spans="1:5" x14ac:dyDescent="0.25">
      <c r="A115" s="35"/>
      <c r="B115" s="35"/>
      <c r="C115" s="35"/>
      <c r="D115" s="35"/>
      <c r="E115" s="35"/>
    </row>
    <row r="116" spans="1:5" x14ac:dyDescent="0.25">
      <c r="A116" s="35"/>
      <c r="B116" s="35"/>
      <c r="C116" s="35"/>
      <c r="D116" s="35"/>
      <c r="E116" s="35"/>
    </row>
    <row r="117" spans="1:5" x14ac:dyDescent="0.25">
      <c r="A117" s="35"/>
      <c r="B117" s="35"/>
      <c r="C117" s="35"/>
      <c r="D117" s="35"/>
      <c r="E117" s="35"/>
    </row>
    <row r="118" spans="1:5" x14ac:dyDescent="0.25">
      <c r="A118" s="35"/>
      <c r="B118" s="35"/>
      <c r="C118" s="35"/>
      <c r="D118" s="35"/>
      <c r="E118" s="35"/>
    </row>
    <row r="119" spans="1:5" x14ac:dyDescent="0.25">
      <c r="A119" s="35"/>
      <c r="B119" s="35"/>
      <c r="C119" s="35"/>
      <c r="D119" s="35"/>
      <c r="E119" s="35"/>
    </row>
    <row r="120" spans="1:5" x14ac:dyDescent="0.25">
      <c r="A120" s="35"/>
      <c r="B120" s="35"/>
      <c r="C120" s="35"/>
      <c r="D120" s="35"/>
      <c r="E120" s="35"/>
    </row>
    <row r="121" spans="1:5" x14ac:dyDescent="0.25">
      <c r="A121" s="35"/>
      <c r="B121" s="35"/>
      <c r="C121" s="35"/>
      <c r="D121" s="35"/>
      <c r="E121" s="35"/>
    </row>
    <row r="122" spans="1:5" x14ac:dyDescent="0.25">
      <c r="A122" s="35"/>
      <c r="B122" s="35"/>
      <c r="C122" s="35"/>
      <c r="D122" s="35"/>
      <c r="E122" s="35"/>
    </row>
    <row r="123" spans="1:5" x14ac:dyDescent="0.25">
      <c r="A123" s="35"/>
      <c r="B123" s="35"/>
      <c r="C123" s="35"/>
      <c r="D123" s="35"/>
      <c r="E123" s="35"/>
    </row>
    <row r="124" spans="1:5" x14ac:dyDescent="0.25">
      <c r="A124" s="35"/>
      <c r="B124" s="35"/>
      <c r="C124" s="35"/>
      <c r="D124" s="35"/>
      <c r="E124" s="35"/>
    </row>
    <row r="125" spans="1:5" x14ac:dyDescent="0.25">
      <c r="A125" s="35"/>
      <c r="B125" s="35"/>
      <c r="C125" s="35"/>
      <c r="D125" s="35"/>
      <c r="E125" s="35"/>
    </row>
    <row r="126" spans="1:5" x14ac:dyDescent="0.25">
      <c r="A126" s="35"/>
      <c r="B126" s="35"/>
      <c r="C126" s="35"/>
      <c r="D126" s="35"/>
      <c r="E126" s="35"/>
    </row>
    <row r="127" spans="1:5" x14ac:dyDescent="0.25">
      <c r="A127" s="35"/>
      <c r="B127" s="35"/>
      <c r="C127" s="35"/>
      <c r="D127" s="35"/>
      <c r="E127" s="35"/>
    </row>
    <row r="128" spans="1:5" x14ac:dyDescent="0.25">
      <c r="A128" s="35"/>
      <c r="B128" s="35"/>
      <c r="C128" s="35"/>
      <c r="D128" s="35"/>
      <c r="E128" s="35"/>
    </row>
    <row r="129" spans="1:5" x14ac:dyDescent="0.25">
      <c r="A129" s="35"/>
      <c r="B129" s="35"/>
      <c r="C129" s="35"/>
      <c r="D129" s="35"/>
      <c r="E129" s="35"/>
    </row>
    <row r="130" spans="1:5" x14ac:dyDescent="0.25">
      <c r="A130" s="35"/>
      <c r="B130" s="35"/>
      <c r="C130" s="35"/>
      <c r="D130" s="35"/>
      <c r="E130" s="35"/>
    </row>
    <row r="131" spans="1:5" x14ac:dyDescent="0.25">
      <c r="A131" s="35"/>
      <c r="B131" s="35"/>
      <c r="C131" s="35"/>
      <c r="D131" s="35"/>
      <c r="E131" s="35"/>
    </row>
    <row r="132" spans="1:5" x14ac:dyDescent="0.25">
      <c r="A132" s="35"/>
      <c r="B132" s="35"/>
      <c r="C132" s="35"/>
      <c r="D132" s="35"/>
      <c r="E132" s="35"/>
    </row>
    <row r="133" spans="1:5" x14ac:dyDescent="0.25">
      <c r="A133" s="35"/>
      <c r="B133" s="35"/>
      <c r="C133" s="35"/>
      <c r="D133" s="35"/>
      <c r="E133" s="35"/>
    </row>
    <row r="134" spans="1:5" x14ac:dyDescent="0.25">
      <c r="A134" s="35"/>
      <c r="B134" s="35"/>
      <c r="C134" s="35"/>
      <c r="D134" s="35"/>
      <c r="E134" s="35"/>
    </row>
    <row r="135" spans="1:5" x14ac:dyDescent="0.25">
      <c r="A135" s="35"/>
      <c r="B135" s="35"/>
      <c r="C135" s="35"/>
      <c r="D135" s="35"/>
      <c r="E135" s="35"/>
    </row>
    <row r="136" spans="1:5" x14ac:dyDescent="0.25">
      <c r="A136" s="35"/>
      <c r="B136" s="35"/>
      <c r="C136" s="35"/>
      <c r="D136" s="35"/>
      <c r="E136" s="35"/>
    </row>
    <row r="137" spans="1:5" x14ac:dyDescent="0.25">
      <c r="A137" s="35"/>
      <c r="B137" s="35"/>
      <c r="C137" s="35"/>
      <c r="D137" s="35"/>
      <c r="E137" s="35"/>
    </row>
    <row r="138" spans="1:5" x14ac:dyDescent="0.25">
      <c r="A138" s="35"/>
      <c r="B138" s="35"/>
      <c r="C138" s="35"/>
      <c r="D138" s="35"/>
      <c r="E138" s="35"/>
    </row>
    <row r="139" spans="1:5" x14ac:dyDescent="0.25">
      <c r="A139" s="35"/>
      <c r="B139" s="35"/>
      <c r="C139" s="35"/>
      <c r="D139" s="35"/>
      <c r="E139" s="35"/>
    </row>
    <row r="140" spans="1:5" x14ac:dyDescent="0.25">
      <c r="A140" s="35"/>
      <c r="B140" s="35"/>
      <c r="C140" s="35"/>
      <c r="D140" s="35"/>
      <c r="E140" s="35"/>
    </row>
    <row r="141" spans="1:5" x14ac:dyDescent="0.25">
      <c r="A141" s="35"/>
      <c r="B141" s="35"/>
      <c r="C141" s="35"/>
      <c r="D141" s="35"/>
      <c r="E141" s="35"/>
    </row>
    <row r="142" spans="1:5" x14ac:dyDescent="0.25">
      <c r="A142" s="35"/>
      <c r="B142" s="35"/>
      <c r="C142" s="35"/>
      <c r="D142" s="35"/>
      <c r="E142" s="35"/>
    </row>
    <row r="143" spans="1:5" x14ac:dyDescent="0.25">
      <c r="A143" s="35"/>
      <c r="B143" s="35"/>
      <c r="C143" s="35"/>
      <c r="D143" s="35"/>
      <c r="E143" s="35"/>
    </row>
    <row r="144" spans="1:5" x14ac:dyDescent="0.25">
      <c r="A144" s="35"/>
      <c r="B144" s="35"/>
      <c r="C144" s="35"/>
      <c r="D144" s="35"/>
      <c r="E144" s="35"/>
    </row>
    <row r="145" spans="1:5" x14ac:dyDescent="0.25">
      <c r="A145" s="35"/>
      <c r="B145" s="35"/>
      <c r="C145" s="35"/>
      <c r="D145" s="35"/>
      <c r="E145" s="35"/>
    </row>
    <row r="146" spans="1:5" x14ac:dyDescent="0.25">
      <c r="A146" s="35"/>
      <c r="B146" s="35"/>
      <c r="C146" s="35"/>
      <c r="D146" s="35"/>
      <c r="E146" s="35"/>
    </row>
    <row r="147" spans="1:5" x14ac:dyDescent="0.25">
      <c r="A147" s="35"/>
      <c r="B147" s="35"/>
      <c r="C147" s="35"/>
      <c r="D147" s="35"/>
      <c r="E147" s="35"/>
    </row>
    <row r="148" spans="1:5" x14ac:dyDescent="0.25">
      <c r="A148" s="35"/>
      <c r="B148" s="35"/>
      <c r="C148" s="35"/>
      <c r="D148" s="35"/>
      <c r="E148" s="35"/>
    </row>
    <row r="149" spans="1:5" x14ac:dyDescent="0.25">
      <c r="A149" s="35"/>
      <c r="B149" s="35"/>
      <c r="C149" s="35"/>
      <c r="D149" s="35"/>
      <c r="E149" s="35"/>
    </row>
    <row r="150" spans="1:5" x14ac:dyDescent="0.25">
      <c r="A150" s="35"/>
      <c r="B150" s="35"/>
      <c r="C150" s="35"/>
      <c r="D150" s="35"/>
      <c r="E150" s="35"/>
    </row>
    <row r="151" spans="1:5" x14ac:dyDescent="0.25">
      <c r="A151" s="35"/>
      <c r="B151" s="35"/>
      <c r="C151" s="35"/>
      <c r="D151" s="35"/>
      <c r="E151" s="35"/>
    </row>
    <row r="152" spans="1:5" x14ac:dyDescent="0.25">
      <c r="A152" s="35"/>
      <c r="B152" s="35"/>
      <c r="C152" s="35"/>
      <c r="D152" s="35"/>
      <c r="E152" s="35"/>
    </row>
    <row r="153" spans="1:5" x14ac:dyDescent="0.25">
      <c r="A153" s="35"/>
      <c r="B153" s="35"/>
      <c r="C153" s="35"/>
      <c r="D153" s="35"/>
      <c r="E153" s="35"/>
    </row>
    <row r="154" spans="1:5" x14ac:dyDescent="0.25">
      <c r="A154" s="35"/>
      <c r="B154" s="35"/>
      <c r="C154" s="35"/>
      <c r="D154" s="35"/>
      <c r="E154" s="35"/>
    </row>
    <row r="155" spans="1:5" x14ac:dyDescent="0.25">
      <c r="A155" s="35"/>
      <c r="B155" s="35"/>
      <c r="C155" s="35"/>
      <c r="D155" s="35"/>
      <c r="E155" s="35"/>
    </row>
    <row r="156" spans="1:5" x14ac:dyDescent="0.25">
      <c r="A156" s="35"/>
      <c r="B156" s="35"/>
      <c r="C156" s="35"/>
      <c r="D156" s="35"/>
      <c r="E156" s="35"/>
    </row>
    <row r="157" spans="1:5" x14ac:dyDescent="0.25">
      <c r="A157" s="35"/>
      <c r="B157" s="35"/>
      <c r="C157" s="35"/>
      <c r="D157" s="35"/>
      <c r="E157" s="35"/>
    </row>
    <row r="158" spans="1:5" x14ac:dyDescent="0.25">
      <c r="A158" s="35"/>
      <c r="B158" s="35"/>
      <c r="C158" s="35"/>
      <c r="D158" s="35"/>
      <c r="E158" s="35"/>
    </row>
    <row r="159" spans="1:5" x14ac:dyDescent="0.25">
      <c r="A159" s="35"/>
      <c r="B159" s="35"/>
      <c r="C159" s="35"/>
      <c r="D159" s="35"/>
      <c r="E159" s="35"/>
    </row>
    <row r="160" spans="1:5" x14ac:dyDescent="0.25">
      <c r="A160" s="35"/>
      <c r="B160" s="35"/>
      <c r="C160" s="35"/>
      <c r="D160" s="35"/>
      <c r="E160" s="35"/>
    </row>
    <row r="161" spans="1:5" x14ac:dyDescent="0.25">
      <c r="A161" s="35"/>
      <c r="B161" s="35"/>
      <c r="C161" s="35"/>
      <c r="D161" s="35"/>
      <c r="E161" s="35"/>
    </row>
    <row r="162" spans="1:5" x14ac:dyDescent="0.25">
      <c r="A162" s="35"/>
      <c r="B162" s="35"/>
      <c r="C162" s="35"/>
      <c r="D162" s="35"/>
      <c r="E162" s="35"/>
    </row>
    <row r="163" spans="1:5" x14ac:dyDescent="0.25">
      <c r="A163" s="35"/>
      <c r="B163" s="35"/>
      <c r="C163" s="35"/>
      <c r="D163" s="35"/>
      <c r="E163" s="35"/>
    </row>
    <row r="164" spans="1:5" x14ac:dyDescent="0.25">
      <c r="A164" s="35"/>
      <c r="B164" s="35"/>
      <c r="C164" s="35"/>
      <c r="D164" s="35"/>
      <c r="E164" s="35"/>
    </row>
    <row r="165" spans="1:5" x14ac:dyDescent="0.25">
      <c r="A165" s="35"/>
      <c r="B165" s="35"/>
      <c r="C165" s="35"/>
      <c r="D165" s="35"/>
      <c r="E165" s="35"/>
    </row>
    <row r="166" spans="1:5" x14ac:dyDescent="0.25">
      <c r="A166" s="35"/>
      <c r="B166" s="35"/>
      <c r="C166" s="35"/>
      <c r="D166" s="35"/>
      <c r="E166" s="35"/>
    </row>
    <row r="167" spans="1:5" x14ac:dyDescent="0.25">
      <c r="A167" s="35"/>
      <c r="B167" s="35"/>
      <c r="C167" s="35"/>
      <c r="D167" s="35"/>
      <c r="E167" s="35"/>
    </row>
    <row r="168" spans="1:5" x14ac:dyDescent="0.25">
      <c r="A168" s="35"/>
      <c r="B168" s="35"/>
      <c r="C168" s="35"/>
      <c r="D168" s="35"/>
      <c r="E168" s="35"/>
    </row>
    <row r="169" spans="1:5" x14ac:dyDescent="0.25">
      <c r="A169" s="35"/>
      <c r="B169" s="35"/>
      <c r="C169" s="35"/>
      <c r="D169" s="35"/>
      <c r="E169" s="35"/>
    </row>
    <row r="170" spans="1:5" x14ac:dyDescent="0.25">
      <c r="A170" s="35"/>
      <c r="B170" s="35"/>
      <c r="C170" s="35"/>
      <c r="D170" s="35"/>
      <c r="E170" s="35"/>
    </row>
    <row r="171" spans="1:5" x14ac:dyDescent="0.25">
      <c r="A171" s="35"/>
      <c r="B171" s="35"/>
      <c r="C171" s="35"/>
      <c r="D171" s="35"/>
      <c r="E171" s="35"/>
    </row>
    <row r="172" spans="1:5" x14ac:dyDescent="0.25">
      <c r="A172" s="35"/>
      <c r="B172" s="35"/>
      <c r="C172" s="35"/>
      <c r="D172" s="35"/>
      <c r="E172" s="35"/>
    </row>
    <row r="173" spans="1:5" x14ac:dyDescent="0.25">
      <c r="A173" s="35"/>
      <c r="B173" s="35"/>
      <c r="C173" s="35"/>
      <c r="D173" s="35"/>
      <c r="E173" s="35"/>
    </row>
    <row r="174" spans="1:5" x14ac:dyDescent="0.25">
      <c r="A174" s="35"/>
      <c r="B174" s="35"/>
      <c r="C174" s="35"/>
      <c r="D174" s="35"/>
      <c r="E174" s="35"/>
    </row>
    <row r="175" spans="1:5" x14ac:dyDescent="0.25">
      <c r="A175" s="35"/>
      <c r="B175" s="35"/>
      <c r="C175" s="35"/>
      <c r="D175" s="35"/>
      <c r="E175" s="35"/>
    </row>
    <row r="176" spans="1:5" x14ac:dyDescent="0.25">
      <c r="A176" s="35"/>
      <c r="B176" s="35"/>
      <c r="C176" s="35"/>
      <c r="D176" s="35"/>
      <c r="E176" s="35"/>
    </row>
    <row r="177" spans="1:5" x14ac:dyDescent="0.25">
      <c r="A177" s="35"/>
      <c r="B177" s="35"/>
      <c r="C177" s="35"/>
      <c r="D177" s="35"/>
      <c r="E177" s="35"/>
    </row>
    <row r="178" spans="1:5" x14ac:dyDescent="0.25">
      <c r="A178" s="35"/>
      <c r="B178" s="35"/>
      <c r="C178" s="35"/>
      <c r="D178" s="35"/>
      <c r="E178" s="35"/>
    </row>
    <row r="179" spans="1:5" x14ac:dyDescent="0.25">
      <c r="A179" s="35"/>
      <c r="B179" s="35"/>
      <c r="C179" s="35"/>
      <c r="D179" s="35"/>
      <c r="E179" s="35"/>
    </row>
    <row r="180" spans="1:5" x14ac:dyDescent="0.25">
      <c r="A180" s="35"/>
      <c r="B180" s="35"/>
      <c r="C180" s="35"/>
      <c r="D180" s="35"/>
      <c r="E180" s="35"/>
    </row>
    <row r="181" spans="1:5" x14ac:dyDescent="0.25">
      <c r="A181" s="35"/>
      <c r="B181" s="35"/>
      <c r="C181" s="35"/>
      <c r="D181" s="35"/>
      <c r="E181" s="35"/>
    </row>
    <row r="182" spans="1:5" x14ac:dyDescent="0.25">
      <c r="A182" s="35"/>
      <c r="B182" s="35"/>
      <c r="C182" s="35"/>
      <c r="D182" s="35"/>
      <c r="E182" s="35"/>
    </row>
    <row r="183" spans="1:5" x14ac:dyDescent="0.25">
      <c r="A183" s="35"/>
      <c r="B183" s="35"/>
      <c r="C183" s="35"/>
      <c r="D183" s="35"/>
      <c r="E183" s="35"/>
    </row>
    <row r="184" spans="1:5" x14ac:dyDescent="0.25">
      <c r="A184" s="35"/>
      <c r="B184" s="35"/>
      <c r="C184" s="35"/>
      <c r="D184" s="35"/>
      <c r="E184" s="35"/>
    </row>
    <row r="185" spans="1:5" x14ac:dyDescent="0.25">
      <c r="A185" s="35"/>
      <c r="B185" s="35"/>
      <c r="C185" s="35"/>
      <c r="D185" s="35"/>
      <c r="E185" s="35"/>
    </row>
    <row r="186" spans="1:5" x14ac:dyDescent="0.25">
      <c r="A186" s="35"/>
      <c r="B186" s="35"/>
      <c r="C186" s="35"/>
      <c r="D186" s="35"/>
      <c r="E186" s="35"/>
    </row>
    <row r="187" spans="1:5" x14ac:dyDescent="0.25">
      <c r="A187" s="35"/>
      <c r="B187" s="35"/>
      <c r="C187" s="35"/>
      <c r="D187" s="35"/>
      <c r="E187" s="35"/>
    </row>
    <row r="188" spans="1:5" x14ac:dyDescent="0.25">
      <c r="A188" s="35"/>
      <c r="B188" s="35"/>
      <c r="C188" s="35"/>
      <c r="D188" s="35"/>
      <c r="E188" s="35"/>
    </row>
    <row r="189" spans="1:5" x14ac:dyDescent="0.25">
      <c r="A189" s="35"/>
      <c r="B189" s="35"/>
      <c r="C189" s="35"/>
      <c r="D189" s="35"/>
      <c r="E189" s="35"/>
    </row>
    <row r="190" spans="1:5" x14ac:dyDescent="0.25">
      <c r="A190" s="35"/>
      <c r="B190" s="35"/>
      <c r="C190" s="35"/>
      <c r="D190" s="35"/>
      <c r="E190" s="35"/>
    </row>
    <row r="191" spans="1:5" x14ac:dyDescent="0.25">
      <c r="A191" s="35"/>
      <c r="B191" s="35"/>
      <c r="C191" s="35"/>
      <c r="D191" s="35"/>
      <c r="E191" s="35"/>
    </row>
    <row r="192" spans="1:5" x14ac:dyDescent="0.25">
      <c r="A192" s="35"/>
      <c r="B192" s="35"/>
      <c r="C192" s="35"/>
      <c r="D192" s="35"/>
      <c r="E192" s="35"/>
    </row>
    <row r="193" spans="1:5" x14ac:dyDescent="0.25">
      <c r="A193" s="35"/>
      <c r="B193" s="35"/>
      <c r="C193" s="35"/>
      <c r="D193" s="35"/>
      <c r="E193" s="35"/>
    </row>
    <row r="194" spans="1:5" x14ac:dyDescent="0.25">
      <c r="A194" s="35"/>
      <c r="B194" s="35"/>
      <c r="C194" s="35"/>
      <c r="D194" s="35"/>
      <c r="E194" s="35"/>
    </row>
    <row r="195" spans="1:5" x14ac:dyDescent="0.25">
      <c r="A195" s="35"/>
      <c r="B195" s="35"/>
      <c r="C195" s="35"/>
      <c r="D195" s="35"/>
      <c r="E195" s="35"/>
    </row>
    <row r="196" spans="1:5" x14ac:dyDescent="0.25">
      <c r="A196" s="35"/>
      <c r="B196" s="35"/>
      <c r="C196" s="35"/>
      <c r="D196" s="35"/>
      <c r="E196" s="35"/>
    </row>
    <row r="197" spans="1:5" x14ac:dyDescent="0.25">
      <c r="A197" s="35"/>
      <c r="B197" s="35"/>
      <c r="C197" s="35"/>
      <c r="D197" s="35"/>
      <c r="E197" s="35"/>
    </row>
    <row r="198" spans="1:5" x14ac:dyDescent="0.25">
      <c r="A198" s="35"/>
      <c r="B198" s="35"/>
      <c r="C198" s="35"/>
      <c r="D198" s="35"/>
      <c r="E198" s="35"/>
    </row>
    <row r="199" spans="1:5" x14ac:dyDescent="0.25">
      <c r="A199" s="35"/>
      <c r="B199" s="35"/>
      <c r="C199" s="35"/>
      <c r="D199" s="35"/>
      <c r="E199" s="35"/>
    </row>
    <row r="200" spans="1:5" x14ac:dyDescent="0.25">
      <c r="A200" s="35"/>
      <c r="B200" s="35"/>
      <c r="C200" s="35"/>
      <c r="D200" s="35"/>
      <c r="E200" s="35"/>
    </row>
    <row r="201" spans="1:5" x14ac:dyDescent="0.25">
      <c r="A201" s="35"/>
      <c r="B201" s="35"/>
      <c r="C201" s="35"/>
      <c r="D201" s="35"/>
      <c r="E201" s="35"/>
    </row>
    <row r="202" spans="1:5" x14ac:dyDescent="0.25">
      <c r="A202" s="35"/>
      <c r="B202" s="35"/>
      <c r="C202" s="35"/>
      <c r="D202" s="35"/>
      <c r="E202" s="35"/>
    </row>
    <row r="203" spans="1:5" x14ac:dyDescent="0.25">
      <c r="A203" s="35"/>
      <c r="B203" s="35"/>
      <c r="C203" s="35"/>
      <c r="D203" s="35"/>
      <c r="E203" s="35"/>
    </row>
    <row r="204" spans="1:5" x14ac:dyDescent="0.25">
      <c r="A204" s="35"/>
      <c r="B204" s="35"/>
      <c r="C204" s="35"/>
      <c r="D204" s="35"/>
      <c r="E204" s="35"/>
    </row>
    <row r="205" spans="1:5" x14ac:dyDescent="0.25">
      <c r="A205" s="35"/>
      <c r="B205" s="35"/>
      <c r="C205" s="35"/>
      <c r="D205" s="35"/>
      <c r="E205" s="35"/>
    </row>
    <row r="206" spans="1:5" x14ac:dyDescent="0.25">
      <c r="A206" s="35"/>
      <c r="B206" s="35"/>
      <c r="C206" s="35"/>
      <c r="D206" s="35"/>
      <c r="E206" s="35"/>
    </row>
    <row r="207" spans="1:5" x14ac:dyDescent="0.25">
      <c r="A207" s="35"/>
      <c r="B207" s="35"/>
      <c r="C207" s="35"/>
      <c r="D207" s="35"/>
      <c r="E207" s="35"/>
    </row>
    <row r="208" spans="1:5" x14ac:dyDescent="0.25">
      <c r="A208" s="35"/>
      <c r="B208" s="35"/>
      <c r="C208" s="35"/>
      <c r="D208" s="35"/>
      <c r="E208" s="35"/>
    </row>
    <row r="209" spans="1:5" x14ac:dyDescent="0.25">
      <c r="A209" s="35"/>
      <c r="B209" s="35"/>
      <c r="C209" s="35"/>
      <c r="D209" s="35"/>
      <c r="E209" s="35"/>
    </row>
    <row r="210" spans="1:5" x14ac:dyDescent="0.25">
      <c r="A210" s="35"/>
      <c r="B210" s="35"/>
      <c r="C210" s="35"/>
      <c r="D210" s="35"/>
      <c r="E210" s="35"/>
    </row>
    <row r="211" spans="1:5" x14ac:dyDescent="0.25">
      <c r="A211" s="35"/>
      <c r="B211" s="35"/>
      <c r="C211" s="35"/>
      <c r="D211" s="35"/>
      <c r="E211" s="35"/>
    </row>
    <row r="212" spans="1:5" x14ac:dyDescent="0.25">
      <c r="A212" s="35"/>
      <c r="B212" s="35"/>
      <c r="C212" s="35"/>
      <c r="D212" s="35"/>
      <c r="E212" s="35"/>
    </row>
    <row r="213" spans="1:5" x14ac:dyDescent="0.25">
      <c r="A213" s="35"/>
      <c r="B213" s="35"/>
      <c r="C213" s="35"/>
      <c r="D213" s="35"/>
      <c r="E213" s="35"/>
    </row>
    <row r="214" spans="1:5" x14ac:dyDescent="0.25">
      <c r="A214" s="35"/>
      <c r="B214" s="35"/>
      <c r="C214" s="35"/>
      <c r="D214" s="35"/>
      <c r="E214" s="35"/>
    </row>
    <row r="215" spans="1:5" x14ac:dyDescent="0.25">
      <c r="A215" s="35"/>
      <c r="B215" s="35"/>
      <c r="C215" s="35"/>
      <c r="D215" s="35"/>
      <c r="E215" s="35"/>
    </row>
    <row r="216" spans="1:5" x14ac:dyDescent="0.25">
      <c r="A216" s="35"/>
      <c r="B216" s="35"/>
      <c r="C216" s="35"/>
      <c r="D216" s="35"/>
      <c r="E216" s="35"/>
    </row>
    <row r="217" spans="1:5" x14ac:dyDescent="0.25">
      <c r="A217" s="35"/>
      <c r="B217" s="35"/>
      <c r="C217" s="35"/>
      <c r="D217" s="35"/>
      <c r="E217" s="35"/>
    </row>
    <row r="218" spans="1:5" x14ac:dyDescent="0.25">
      <c r="A218" s="35"/>
      <c r="B218" s="35"/>
      <c r="C218" s="35"/>
      <c r="D218" s="35"/>
      <c r="E218" s="35"/>
    </row>
    <row r="219" spans="1:5" x14ac:dyDescent="0.25">
      <c r="A219" s="35"/>
      <c r="B219" s="35"/>
      <c r="C219" s="35"/>
      <c r="D219" s="35"/>
      <c r="E219" s="35"/>
    </row>
    <row r="220" spans="1:5" x14ac:dyDescent="0.25">
      <c r="A220" s="35"/>
      <c r="B220" s="35"/>
      <c r="C220" s="35"/>
      <c r="D220" s="35"/>
      <c r="E220" s="35"/>
    </row>
    <row r="221" spans="1:5" x14ac:dyDescent="0.25">
      <c r="A221" s="35"/>
      <c r="B221" s="35"/>
      <c r="C221" s="35"/>
      <c r="D221" s="35"/>
      <c r="E221" s="35"/>
    </row>
    <row r="222" spans="1:5" x14ac:dyDescent="0.25">
      <c r="A222" s="35"/>
      <c r="B222" s="35"/>
      <c r="C222" s="35"/>
      <c r="D222" s="35"/>
      <c r="E222" s="35"/>
    </row>
    <row r="223" spans="1:5" x14ac:dyDescent="0.25">
      <c r="A223" s="35"/>
      <c r="B223" s="35"/>
      <c r="C223" s="35"/>
      <c r="D223" s="35"/>
      <c r="E223" s="35"/>
    </row>
    <row r="224" spans="1:5" x14ac:dyDescent="0.25">
      <c r="A224" s="35"/>
      <c r="B224" s="35"/>
      <c r="C224" s="35"/>
      <c r="D224" s="35"/>
      <c r="E224" s="35"/>
    </row>
    <row r="225" spans="1:5" x14ac:dyDescent="0.25">
      <c r="A225" s="35"/>
      <c r="B225" s="35"/>
      <c r="C225" s="35"/>
      <c r="D225" s="35"/>
      <c r="E225" s="35"/>
    </row>
    <row r="226" spans="1:5" x14ac:dyDescent="0.25">
      <c r="A226" s="35"/>
      <c r="B226" s="35"/>
      <c r="C226" s="35"/>
      <c r="D226" s="35"/>
      <c r="E226" s="35"/>
    </row>
    <row r="227" spans="1:5" x14ac:dyDescent="0.25">
      <c r="A227" s="35"/>
      <c r="B227" s="35"/>
      <c r="C227" s="35"/>
      <c r="D227" s="35"/>
      <c r="E227" s="35"/>
    </row>
    <row r="228" spans="1:5" x14ac:dyDescent="0.25">
      <c r="A228" s="35"/>
      <c r="B228" s="35"/>
      <c r="C228" s="35"/>
      <c r="D228" s="35"/>
      <c r="E228" s="35"/>
    </row>
    <row r="229" spans="1:5" x14ac:dyDescent="0.25">
      <c r="A229" s="35"/>
      <c r="B229" s="35"/>
      <c r="C229" s="35"/>
      <c r="D229" s="35"/>
      <c r="E229" s="35"/>
    </row>
    <row r="230" spans="1:5" x14ac:dyDescent="0.25">
      <c r="A230" s="35"/>
      <c r="B230" s="35"/>
      <c r="C230" s="35"/>
      <c r="D230" s="35"/>
      <c r="E230" s="35"/>
    </row>
    <row r="231" spans="1:5" x14ac:dyDescent="0.25">
      <c r="A231" s="35"/>
      <c r="B231" s="35"/>
      <c r="C231" s="35"/>
      <c r="D231" s="35"/>
      <c r="E231" s="35"/>
    </row>
    <row r="232" spans="1:5" x14ac:dyDescent="0.25">
      <c r="A232" s="35"/>
      <c r="B232" s="35"/>
      <c r="C232" s="35"/>
      <c r="D232" s="35"/>
      <c r="E232" s="35"/>
    </row>
    <row r="233" spans="1:5" x14ac:dyDescent="0.25">
      <c r="A233" s="35"/>
      <c r="B233" s="35"/>
      <c r="C233" s="35"/>
      <c r="D233" s="35"/>
      <c r="E233" s="35"/>
    </row>
    <row r="234" spans="1:5" x14ac:dyDescent="0.25">
      <c r="A234" s="35"/>
      <c r="B234" s="35"/>
      <c r="C234" s="35"/>
      <c r="D234" s="35"/>
      <c r="E234" s="35"/>
    </row>
    <row r="235" spans="1:5" x14ac:dyDescent="0.25">
      <c r="A235" s="35"/>
      <c r="B235" s="35"/>
      <c r="C235" s="35"/>
      <c r="D235" s="35"/>
      <c r="E235" s="35"/>
    </row>
    <row r="236" spans="1:5" x14ac:dyDescent="0.25">
      <c r="A236" s="35"/>
      <c r="B236" s="35"/>
      <c r="C236" s="35"/>
      <c r="D236" s="35"/>
      <c r="E236" s="35"/>
    </row>
    <row r="237" spans="1:5" x14ac:dyDescent="0.25">
      <c r="A237" s="35"/>
      <c r="B237" s="35"/>
      <c r="C237" s="35"/>
      <c r="D237" s="35"/>
      <c r="E237" s="35"/>
    </row>
    <row r="238" spans="1:5" x14ac:dyDescent="0.25">
      <c r="A238" s="35"/>
      <c r="B238" s="35"/>
      <c r="C238" s="35"/>
      <c r="D238" s="35"/>
      <c r="E238" s="35"/>
    </row>
    <row r="239" spans="1:5" x14ac:dyDescent="0.25">
      <c r="A239" s="35"/>
      <c r="B239" s="35"/>
      <c r="C239" s="35"/>
      <c r="D239" s="35"/>
      <c r="E239" s="35"/>
    </row>
    <row r="240" spans="1:5" x14ac:dyDescent="0.25">
      <c r="A240" s="35"/>
      <c r="B240" s="35"/>
      <c r="C240" s="35"/>
      <c r="D240" s="35"/>
      <c r="E240" s="35"/>
    </row>
    <row r="241" spans="1:5" x14ac:dyDescent="0.25">
      <c r="A241" s="35"/>
      <c r="B241" s="35"/>
      <c r="C241" s="35"/>
      <c r="D241" s="35"/>
      <c r="E241" s="35"/>
    </row>
    <row r="242" spans="1:5" x14ac:dyDescent="0.25">
      <c r="A242" s="35"/>
      <c r="B242" s="35"/>
      <c r="C242" s="35"/>
      <c r="D242" s="35"/>
      <c r="E242" s="35"/>
    </row>
    <row r="243" spans="1:5" x14ac:dyDescent="0.25">
      <c r="A243" s="35"/>
      <c r="B243" s="35"/>
      <c r="C243" s="35"/>
      <c r="D243" s="35"/>
      <c r="E243" s="35"/>
    </row>
    <row r="244" spans="1:5" x14ac:dyDescent="0.25">
      <c r="A244" s="35"/>
      <c r="B244" s="35"/>
      <c r="C244" s="35"/>
      <c r="D244" s="35"/>
      <c r="E244" s="35"/>
    </row>
    <row r="245" spans="1:5" x14ac:dyDescent="0.25">
      <c r="A245" s="35"/>
      <c r="B245" s="35"/>
      <c r="C245" s="35"/>
      <c r="D245" s="35"/>
      <c r="E245" s="35"/>
    </row>
    <row r="246" spans="1:5" x14ac:dyDescent="0.25">
      <c r="A246" s="35"/>
      <c r="B246" s="35"/>
      <c r="C246" s="35"/>
      <c r="D246" s="35"/>
      <c r="E246" s="35"/>
    </row>
    <row r="247" spans="1:5" x14ac:dyDescent="0.25">
      <c r="A247" s="35"/>
      <c r="B247" s="35"/>
      <c r="C247" s="35"/>
      <c r="D247" s="35"/>
      <c r="E247" s="35"/>
    </row>
    <row r="248" spans="1:5" x14ac:dyDescent="0.25">
      <c r="A248" s="35"/>
      <c r="B248" s="35"/>
      <c r="C248" s="35"/>
      <c r="D248" s="35"/>
      <c r="E248" s="35"/>
    </row>
    <row r="249" spans="1:5" x14ac:dyDescent="0.25">
      <c r="A249" s="35"/>
      <c r="B249" s="35"/>
      <c r="C249" s="35"/>
      <c r="D249" s="35"/>
      <c r="E249" s="35"/>
    </row>
    <row r="250" spans="1:5" x14ac:dyDescent="0.25">
      <c r="A250" s="35"/>
      <c r="B250" s="35"/>
      <c r="C250" s="35"/>
      <c r="D250" s="35"/>
      <c r="E250" s="35"/>
    </row>
    <row r="251" spans="1:5" x14ac:dyDescent="0.25">
      <c r="A251" s="35"/>
      <c r="B251" s="35"/>
      <c r="C251" s="35"/>
      <c r="D251" s="35"/>
      <c r="E251" s="35"/>
    </row>
    <row r="252" spans="1:5" x14ac:dyDescent="0.25">
      <c r="A252" s="35"/>
      <c r="B252" s="35"/>
      <c r="C252" s="35"/>
      <c r="D252" s="35"/>
      <c r="E252" s="35"/>
    </row>
    <row r="253" spans="1:5" x14ac:dyDescent="0.25">
      <c r="A253" s="35"/>
      <c r="B253" s="35"/>
      <c r="C253" s="35"/>
      <c r="D253" s="35"/>
      <c r="E253" s="35"/>
    </row>
    <row r="254" spans="1:5" x14ac:dyDescent="0.25">
      <c r="A254" s="35"/>
      <c r="B254" s="35"/>
      <c r="C254" s="35"/>
      <c r="D254" s="35"/>
      <c r="E254" s="35"/>
    </row>
    <row r="255" spans="1:5" x14ac:dyDescent="0.25">
      <c r="A255" s="35"/>
      <c r="B255" s="35"/>
      <c r="C255" s="35"/>
      <c r="D255" s="35"/>
      <c r="E255" s="35"/>
    </row>
    <row r="256" spans="1:5" x14ac:dyDescent="0.25">
      <c r="A256" s="35"/>
      <c r="B256" s="35"/>
      <c r="C256" s="35"/>
      <c r="D256" s="35"/>
      <c r="E256" s="35"/>
    </row>
    <row r="257" spans="1:5" x14ac:dyDescent="0.25">
      <c r="A257" s="35"/>
      <c r="B257" s="35"/>
      <c r="C257" s="35"/>
      <c r="D257" s="35"/>
      <c r="E257" s="35"/>
    </row>
    <row r="258" spans="1:5" x14ac:dyDescent="0.25">
      <c r="A258" s="35"/>
      <c r="B258" s="35"/>
      <c r="C258" s="35"/>
      <c r="D258" s="35"/>
      <c r="E258" s="35"/>
    </row>
    <row r="259" spans="1:5" x14ac:dyDescent="0.25">
      <c r="A259" s="35"/>
      <c r="B259" s="35"/>
      <c r="C259" s="35"/>
      <c r="D259" s="35"/>
      <c r="E259" s="35"/>
    </row>
    <row r="260" spans="1:5" x14ac:dyDescent="0.25">
      <c r="A260" s="35"/>
      <c r="B260" s="35"/>
      <c r="C260" s="35"/>
      <c r="D260" s="35"/>
      <c r="E260" s="35"/>
    </row>
    <row r="261" spans="1:5" x14ac:dyDescent="0.25">
      <c r="A261" s="35"/>
      <c r="B261" s="35"/>
      <c r="C261" s="35"/>
      <c r="D261" s="35"/>
      <c r="E261" s="35"/>
    </row>
    <row r="262" spans="1:5" x14ac:dyDescent="0.25">
      <c r="A262" s="35"/>
      <c r="B262" s="35"/>
      <c r="C262" s="35"/>
      <c r="D262" s="35"/>
      <c r="E262" s="35"/>
    </row>
    <row r="263" spans="1:5" x14ac:dyDescent="0.25">
      <c r="A263" s="35"/>
      <c r="B263" s="35"/>
      <c r="C263" s="35"/>
      <c r="D263" s="35"/>
      <c r="E263" s="35"/>
    </row>
    <row r="264" spans="1:5" x14ac:dyDescent="0.25">
      <c r="A264" s="35"/>
      <c r="B264" s="35"/>
      <c r="C264" s="35"/>
      <c r="D264" s="35"/>
      <c r="E264" s="35"/>
    </row>
    <row r="265" spans="1:5" x14ac:dyDescent="0.25">
      <c r="A265" s="35"/>
      <c r="B265" s="35"/>
      <c r="C265" s="35"/>
      <c r="D265" s="35"/>
      <c r="E265" s="35"/>
    </row>
    <row r="266" spans="1:5" x14ac:dyDescent="0.25">
      <c r="A266" s="35"/>
      <c r="B266" s="35"/>
      <c r="C266" s="35"/>
      <c r="D266" s="35"/>
      <c r="E266" s="35"/>
    </row>
    <row r="267" spans="1:5" x14ac:dyDescent="0.25">
      <c r="A267" s="35"/>
      <c r="B267" s="35"/>
      <c r="C267" s="35"/>
      <c r="D267" s="35"/>
      <c r="E267" s="35"/>
    </row>
    <row r="268" spans="1:5" x14ac:dyDescent="0.25">
      <c r="A268" s="35"/>
      <c r="B268" s="35"/>
      <c r="C268" s="35"/>
      <c r="D268" s="35"/>
      <c r="E268" s="35"/>
    </row>
    <row r="269" spans="1:5" x14ac:dyDescent="0.25">
      <c r="A269" s="35"/>
      <c r="B269" s="35"/>
      <c r="C269" s="35"/>
      <c r="D269" s="35"/>
      <c r="E269" s="35"/>
    </row>
    <row r="270" spans="1:5" x14ac:dyDescent="0.25">
      <c r="A270" s="35"/>
      <c r="B270" s="35"/>
      <c r="C270" s="35"/>
      <c r="D270" s="35"/>
      <c r="E270" s="35"/>
    </row>
    <row r="271" spans="1:5" x14ac:dyDescent="0.25">
      <c r="A271" s="35"/>
      <c r="B271" s="35"/>
      <c r="C271" s="35"/>
      <c r="D271" s="35"/>
      <c r="E271" s="35"/>
    </row>
    <row r="272" spans="1:5" x14ac:dyDescent="0.25">
      <c r="A272" s="35"/>
      <c r="B272" s="35"/>
      <c r="C272" s="35"/>
      <c r="D272" s="35"/>
      <c r="E272" s="35"/>
    </row>
    <row r="273" spans="1:5" x14ac:dyDescent="0.25">
      <c r="A273" s="35"/>
      <c r="B273" s="35"/>
      <c r="C273" s="35"/>
      <c r="D273" s="35"/>
      <c r="E273" s="35"/>
    </row>
    <row r="274" spans="1:5" x14ac:dyDescent="0.25">
      <c r="A274" s="35"/>
      <c r="B274" s="35"/>
      <c r="C274" s="35"/>
      <c r="D274" s="35"/>
      <c r="E274" s="35"/>
    </row>
    <row r="275" spans="1:5" x14ac:dyDescent="0.25">
      <c r="A275" s="35"/>
      <c r="B275" s="35"/>
      <c r="C275" s="35"/>
      <c r="D275" s="35"/>
      <c r="E275" s="35"/>
    </row>
    <row r="276" spans="1:5" x14ac:dyDescent="0.25">
      <c r="A276" s="35"/>
      <c r="B276" s="35"/>
      <c r="C276" s="35"/>
      <c r="D276" s="35"/>
      <c r="E276" s="35"/>
    </row>
    <row r="277" spans="1:5" x14ac:dyDescent="0.25">
      <c r="A277" s="35"/>
      <c r="B277" s="35"/>
      <c r="C277" s="35"/>
      <c r="D277" s="35"/>
      <c r="E277" s="35"/>
    </row>
    <row r="278" spans="1:5" x14ac:dyDescent="0.25">
      <c r="A278" s="35"/>
      <c r="B278" s="35"/>
      <c r="C278" s="35"/>
      <c r="D278" s="35"/>
      <c r="E278" s="35"/>
    </row>
    <row r="279" spans="1:5" x14ac:dyDescent="0.25">
      <c r="A279" s="35"/>
      <c r="B279" s="35"/>
      <c r="C279" s="35"/>
      <c r="D279" s="35"/>
      <c r="E279" s="35"/>
    </row>
    <row r="280" spans="1:5" x14ac:dyDescent="0.25">
      <c r="A280" s="35"/>
      <c r="B280" s="35"/>
      <c r="C280" s="35"/>
      <c r="D280" s="35"/>
      <c r="E280" s="35"/>
    </row>
    <row r="281" spans="1:5" x14ac:dyDescent="0.25">
      <c r="A281" s="35"/>
      <c r="B281" s="35"/>
      <c r="C281" s="35"/>
      <c r="D281" s="35"/>
      <c r="E281" s="35"/>
    </row>
    <row r="282" spans="1:5" x14ac:dyDescent="0.25">
      <c r="A282" s="35"/>
      <c r="B282" s="35"/>
      <c r="C282" s="35"/>
      <c r="D282" s="35"/>
      <c r="E282" s="35"/>
    </row>
    <row r="283" spans="1:5" x14ac:dyDescent="0.25">
      <c r="A283" s="35"/>
      <c r="B283" s="35"/>
      <c r="C283" s="35"/>
      <c r="D283" s="35"/>
      <c r="E283" s="35"/>
    </row>
    <row r="284" spans="1:5" x14ac:dyDescent="0.25">
      <c r="A284" s="35"/>
      <c r="B284" s="35"/>
      <c r="C284" s="35"/>
      <c r="D284" s="35"/>
      <c r="E284" s="35"/>
    </row>
    <row r="285" spans="1:5" x14ac:dyDescent="0.25">
      <c r="A285" s="35"/>
      <c r="B285" s="35"/>
      <c r="C285" s="35"/>
      <c r="D285" s="35"/>
      <c r="E285" s="35"/>
    </row>
    <row r="286" spans="1:5" x14ac:dyDescent="0.25">
      <c r="A286" s="35"/>
      <c r="B286" s="35"/>
      <c r="C286" s="35"/>
      <c r="D286" s="35"/>
      <c r="E286" s="35"/>
    </row>
    <row r="287" spans="1:5" x14ac:dyDescent="0.25">
      <c r="A287" s="35"/>
      <c r="B287" s="35"/>
      <c r="C287" s="35"/>
      <c r="D287" s="35"/>
      <c r="E287" s="35"/>
    </row>
    <row r="288" spans="1:5" x14ac:dyDescent="0.25">
      <c r="A288" s="35"/>
      <c r="B288" s="35"/>
      <c r="C288" s="35"/>
      <c r="D288" s="35"/>
      <c r="E288" s="35"/>
    </row>
    <row r="289" spans="1:5" x14ac:dyDescent="0.25">
      <c r="A289" s="35"/>
      <c r="B289" s="35"/>
      <c r="C289" s="35"/>
      <c r="D289" s="35"/>
      <c r="E289" s="35"/>
    </row>
    <row r="290" spans="1:5" x14ac:dyDescent="0.25">
      <c r="A290" s="35"/>
      <c r="B290" s="35"/>
      <c r="C290" s="35"/>
      <c r="D290" s="35"/>
      <c r="E290" s="35"/>
    </row>
    <row r="291" spans="1:5" x14ac:dyDescent="0.25">
      <c r="A291" s="35"/>
      <c r="B291" s="35"/>
      <c r="C291" s="35"/>
      <c r="D291" s="35"/>
      <c r="E291" s="35"/>
    </row>
    <row r="292" spans="1:5" x14ac:dyDescent="0.25">
      <c r="A292" s="35"/>
      <c r="B292" s="35"/>
      <c r="C292" s="35"/>
      <c r="D292" s="35"/>
      <c r="E292" s="35"/>
    </row>
    <row r="293" spans="1:5" x14ac:dyDescent="0.25">
      <c r="A293" s="35"/>
      <c r="B293" s="35"/>
      <c r="C293" s="35"/>
      <c r="D293" s="35"/>
      <c r="E293" s="35"/>
    </row>
    <row r="294" spans="1:5" x14ac:dyDescent="0.25">
      <c r="A294" s="35"/>
      <c r="B294" s="35"/>
      <c r="C294" s="35"/>
      <c r="D294" s="35"/>
      <c r="E294" s="35"/>
    </row>
    <row r="295" spans="1:5" x14ac:dyDescent="0.25">
      <c r="A295" s="35"/>
      <c r="B295" s="35"/>
      <c r="C295" s="35"/>
      <c r="D295" s="35"/>
      <c r="E295" s="35"/>
    </row>
    <row r="296" spans="1:5" x14ac:dyDescent="0.25">
      <c r="A296" s="35"/>
      <c r="B296" s="35"/>
      <c r="C296" s="35"/>
      <c r="D296" s="35"/>
      <c r="E296" s="35"/>
    </row>
    <row r="297" spans="1:5" x14ac:dyDescent="0.25">
      <c r="A297" s="35"/>
      <c r="B297" s="35"/>
      <c r="C297" s="35"/>
      <c r="D297" s="35"/>
      <c r="E297" s="35"/>
    </row>
    <row r="298" spans="1:5" x14ac:dyDescent="0.25">
      <c r="A298" s="35"/>
      <c r="B298" s="35"/>
      <c r="C298" s="35"/>
      <c r="D298" s="35"/>
      <c r="E298" s="35"/>
    </row>
    <row r="299" spans="1:5" x14ac:dyDescent="0.25">
      <c r="A299" s="35"/>
      <c r="B299" s="35"/>
      <c r="C299" s="35"/>
      <c r="D299" s="35"/>
      <c r="E299" s="35"/>
    </row>
    <row r="300" spans="1:5" x14ac:dyDescent="0.25">
      <c r="A300" s="35"/>
      <c r="B300" s="35"/>
      <c r="C300" s="35"/>
      <c r="D300" s="35"/>
      <c r="E300" s="35"/>
    </row>
    <row r="301" spans="1:5" x14ac:dyDescent="0.25">
      <c r="A301" s="35"/>
      <c r="B301" s="35"/>
      <c r="C301" s="35"/>
      <c r="D301" s="35"/>
      <c r="E301" s="35"/>
    </row>
    <row r="302" spans="1:5" x14ac:dyDescent="0.25">
      <c r="A302" s="35"/>
      <c r="B302" s="35"/>
      <c r="C302" s="35"/>
      <c r="D302" s="35"/>
      <c r="E302" s="35"/>
    </row>
    <row r="303" spans="1:5" x14ac:dyDescent="0.25">
      <c r="A303" s="35"/>
      <c r="B303" s="35"/>
      <c r="C303" s="35"/>
      <c r="D303" s="35"/>
      <c r="E303" s="35"/>
    </row>
    <row r="304" spans="1:5" x14ac:dyDescent="0.25">
      <c r="A304" s="35"/>
      <c r="B304" s="35"/>
      <c r="C304" s="35"/>
      <c r="D304" s="35"/>
      <c r="E304" s="35"/>
    </row>
    <row r="305" spans="1:5" x14ac:dyDescent="0.25">
      <c r="A305" s="35"/>
      <c r="B305" s="35"/>
      <c r="C305" s="35"/>
      <c r="D305" s="35"/>
      <c r="E305" s="35"/>
    </row>
    <row r="306" spans="1:5" x14ac:dyDescent="0.25">
      <c r="A306" s="35"/>
      <c r="B306" s="35"/>
      <c r="C306" s="35"/>
      <c r="D306" s="35"/>
      <c r="E306" s="3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A2C59-A373-47E6-B29C-364EBB88D5A4}">
  <dimension ref="A1:F26"/>
  <sheetViews>
    <sheetView workbookViewId="0">
      <selection activeCell="G53" sqref="G53"/>
    </sheetView>
  </sheetViews>
  <sheetFormatPr defaultRowHeight="15" x14ac:dyDescent="0.25"/>
  <sheetData>
    <row r="1" spans="1:6" x14ac:dyDescent="0.25">
      <c r="A1" s="8" t="s">
        <v>532</v>
      </c>
    </row>
    <row r="3" spans="1:6" x14ac:dyDescent="0.25">
      <c r="A3" t="s">
        <v>533</v>
      </c>
    </row>
    <row r="5" spans="1:6" x14ac:dyDescent="0.25">
      <c r="A5" t="s">
        <v>543</v>
      </c>
    </row>
    <row r="6" spans="1:6" x14ac:dyDescent="0.25">
      <c r="A6" t="s">
        <v>535</v>
      </c>
    </row>
    <row r="7" spans="1:6" x14ac:dyDescent="0.25">
      <c r="A7" t="s">
        <v>534</v>
      </c>
    </row>
    <row r="9" spans="1:6" x14ac:dyDescent="0.25">
      <c r="A9" t="s">
        <v>536</v>
      </c>
    </row>
    <row r="10" spans="1:6" x14ac:dyDescent="0.25">
      <c r="B10" t="s">
        <v>537</v>
      </c>
      <c r="F10">
        <f>('Engagement Summary'!E201-'Engagement Summary'!E3)/'Engagement Summary'!E3*100</f>
        <v>52.960633099079658</v>
      </c>
    </row>
    <row r="12" spans="1:6" x14ac:dyDescent="0.25">
      <c r="A12" t="s">
        <v>538</v>
      </c>
    </row>
    <row r="13" spans="1:6" x14ac:dyDescent="0.25">
      <c r="B13" t="s">
        <v>540</v>
      </c>
    </row>
    <row r="14" spans="1:6" x14ac:dyDescent="0.25">
      <c r="B14" t="s">
        <v>541</v>
      </c>
      <c r="E14" s="35">
        <f>SUMIF(Engagement_Summary[Platform],"Twitter",Engagement_Summary[Ad_Spend])</f>
        <v>1114204</v>
      </c>
    </row>
    <row r="16" spans="1:6" x14ac:dyDescent="0.25">
      <c r="B16" t="s">
        <v>542</v>
      </c>
      <c r="F16" s="35">
        <f>SUMIF(Engagement_Summary[Platform],"Twitter",Engagement_Summary[Follower Growth])</f>
        <v>55544</v>
      </c>
    </row>
    <row r="17" spans="2:6" x14ac:dyDescent="0.25">
      <c r="E17" s="35"/>
    </row>
    <row r="18" spans="2:6" x14ac:dyDescent="0.25">
      <c r="B18" t="s">
        <v>539</v>
      </c>
      <c r="E18" s="33">
        <f>E14/F16</f>
        <v>20.059844447645109</v>
      </c>
      <c r="F18" s="35"/>
    </row>
    <row r="21" spans="2:6" x14ac:dyDescent="0.25">
      <c r="F21" s="35"/>
    </row>
    <row r="26" spans="2:6" x14ac:dyDescent="0.25">
      <c r="F26" s="3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D1DE21-B8B2-45B0-B795-D38A96F044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Video HyperLink</vt:lpstr>
      <vt:lpstr>Campaign Metadata</vt:lpstr>
      <vt:lpstr>Engagement Summary</vt:lpstr>
      <vt:lpstr>Posts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Prajwal Dixith</dc:creator>
  <cp:lastModifiedBy>Prajwal Dixith</cp:lastModifiedBy>
  <dcterms:created xsi:type="dcterms:W3CDTF">2025-09-20T07:52:35Z</dcterms:created>
  <dcterms:modified xsi:type="dcterms:W3CDTF">2025-09-21T16:11:25Z</dcterms:modified>
</cp:coreProperties>
</file>